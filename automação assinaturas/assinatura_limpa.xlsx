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bookViews>
    <workbookView visibility="visible" minimized="0" showHorizontalScroll="1" showVerticalScroll="1" showSheetTabs="1" xWindow="240" yWindow="105" windowWidth="20115" windowHeight="7755" tabRatio="600" firstSheet="0" activeTab="0" autoFilterDateGrouping="1"/>
  </bookViews>
  <sheets>
    <sheet name="base_dados" sheetId="1" state="visible" r:id="rId1"/>
    <sheet name="fevereiro" sheetId="2" state="visible" r:id="rId2"/>
    <sheet name="março" sheetId="3" state="visible" r:id="rId3"/>
    <sheet name="base" sheetId="4" state="visible" r:id="rId4"/>
    <sheet name="relatórios" sheetId="5" state="visible" r:id="rId5"/>
    <sheet name="dashboards" sheetId="6" state="visible" r:id="rId6"/>
  </sheets>
  <definedNames/>
  <calcPr calcId="125725" fullCalcOnLoad="1"/>
  <pivotCaches>
    <pivotCache cacheId="2" r:id="rId7"/>
  </pivotCaches>
</workbook>
</file>

<file path=xl/styles.xml><?xml version="1.0" encoding="utf-8"?>
<styleSheet xmlns="http://schemas.openxmlformats.org/spreadsheetml/2006/main">
  <numFmts count="1">
    <numFmt numFmtId="164" formatCode="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color rgb="FF000000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 Unicode MS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/>
        <bgColor theme="7"/>
      </patternFill>
    </fill>
  </fills>
  <borders count="19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11" fillId="0" borderId="0"/>
    <xf numFmtId="43" fontId="11" fillId="0" borderId="0"/>
    <xf numFmtId="9" fontId="11" fillId="0" borderId="0"/>
    <xf numFmtId="0" fontId="8" fillId="0" borderId="0" applyAlignment="1" applyProtection="1">
      <alignment vertical="top"/>
      <protection locked="0" hidden="0"/>
    </xf>
  </cellStyleXfs>
  <cellXfs count="93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1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1" xfId="0">
      <alignment horizont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10" fontId="0" fillId="0" borderId="5" applyAlignment="1" pivotButton="0" quotePrefix="0" xfId="1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9" fontId="0" fillId="0" borderId="5" applyAlignment="1" pivotButton="0" quotePrefix="0" xfId="2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9" fontId="0" fillId="0" borderId="13" applyAlignment="1" pivotButton="0" quotePrefix="0" xfId="2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9" fontId="0" fillId="0" borderId="3" applyAlignment="1" pivotButton="0" quotePrefix="0" xfId="2">
      <alignment horizontal="center" vertical="center"/>
    </xf>
    <xf numFmtId="9" fontId="0" fillId="0" borderId="3" applyAlignment="1" pivotButton="0" quotePrefix="0" xfId="2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9" fontId="0" fillId="0" borderId="5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1" fontId="10" fillId="0" borderId="0" applyAlignment="1" pivotButton="0" quotePrefix="0" xfId="0">
      <alignment horizontal="center" vertical="center"/>
    </xf>
    <xf numFmtId="1" fontId="1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9" fillId="0" borderId="0" applyAlignment="1" pivotButton="0" quotePrefix="0" xfId="3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/>
    </xf>
    <xf numFmtId="0" fontId="0" fillId="0" borderId="7" pivotButton="0" quotePrefix="0" xfId="0"/>
  </cellXfs>
  <cellStyles count="4">
    <cellStyle name="Normal" xfId="0" builtinId="0"/>
    <cellStyle name="Separador de milhares" xfId="1" builtinId="3"/>
    <cellStyle name="Porcentagem" xfId="2" builtinId="5"/>
    <cellStyle name="Hyperlink" xfId="3" builtinId="8"/>
  </cellStyles>
  <dxfs count="7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"/>
        </patternFill>
      </fill>
    </dxf>
    <dxf>
      <fill>
        <patternFill>
          <bgColor rgb="FF92D050"/>
        </patternFill>
      </fill>
    </dxf>
    <dxf>
      <alignment horizontal="center" relativeIndent="255"/>
    </dxf>
    <dxf>
      <border outline="0">
        <bottom style="thick">
          <color rgb="FFFFFFFF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7"/>
          <bgColor theme="7"/>
        </patternFill>
      </fill>
      <alignment horizontal="center" vertical="center"/>
      <border outline="0">
        <left style="thin">
          <color theme="0"/>
        </left>
        <right style="thin">
          <color theme="0"/>
        </right>
        <top/>
        <bottom/>
      </border>
    </dxf>
    <dxf>
      <alignment horizontal="center" vertical="center" relativeIndent="255"/>
    </dxf>
    <dxf>
      <alignment horizontal="center" vertical="center"/>
    </dxf>
    <dxf>
      <alignment horizontal="center" vertical="center" relativeIndent="255"/>
    </dxf>
    <dxf>
      <alignment horizontal="center" vertical="center" relativeIndent="255"/>
    </dxf>
    <dxf>
      <alignment horizontal="center" vertical="center" relativeIndent="255"/>
    </dxf>
    <dxf>
      <numFmt numFmtId="19" formatCode="dd/mm/yyyy"/>
      <alignment horizontal="center" vertical="bottom"/>
    </dxf>
    <dxf>
      <alignment horizontal="center" vertical="bottom"/>
    </dxf>
    <dxf>
      <alignment horizontal="center" relativeIndent="255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"/>
        </patternFill>
      </fill>
    </dxf>
    <dxf>
      <fill>
        <patternFill>
          <bgColor rgb="FF92D050"/>
        </patternFill>
      </fill>
    </dxf>
    <dxf>
      <alignment horizontal="center" relativeIndent="255"/>
    </dxf>
    <dxf>
      <alignment horizontal="center" vertical="bottom"/>
    </dxf>
    <dxf>
      <alignment horizontal="center" vertical="bottom"/>
    </dxf>
    <dxf>
      <border outline="0">
        <bottom style="thick">
          <color theme="0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7"/>
          <bgColor theme="7"/>
        </patternFill>
      </fill>
      <alignment horizontal="center" vertical="center"/>
      <border outline="0">
        <left style="thin">
          <color theme="0"/>
        </left>
        <right style="thin">
          <color theme="0"/>
        </right>
        <top/>
        <bottom/>
      </border>
    </dxf>
    <dxf>
      <alignment horizontal="center" vertical="center" relativeIndent="255"/>
    </dxf>
    <dxf>
      <alignment horizontal="center" vertical="center"/>
    </dxf>
    <dxf>
      <alignment horizontal="center" vertical="center" relativeIndent="255"/>
    </dxf>
    <dxf>
      <alignment horizontal="center" vertical="center" relativeIndent="255"/>
    </dxf>
    <dxf>
      <alignment horizontal="center" vertical="bottom"/>
    </dxf>
    <dxf>
      <alignment horizontal="center" vertical="bottom"/>
    </dxf>
    <dxf>
      <alignment horizontal="center" relativeIndent="255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ill>
        <patternFill>
          <bgColor theme="9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relativeIndent="255"/>
    </dxf>
    <dxf>
      <alignment horizontal="center" vertical="center" relativeIndent="255"/>
    </dxf>
    <dxf>
      <alignment horizontal="center" vertical="center" relativeIndent="255"/>
    </dxf>
    <dxf>
      <alignment horizontal="center" vertical="center"/>
    </dxf>
    <dxf>
      <font>
        <name val="Calibri"/>
        <strike val="0"/>
        <outline val="0"/>
        <shadow val="0"/>
        <color theme="1"/>
        <sz val="11"/>
        <vertAlign val="baseline"/>
      </font>
      <numFmt numFmtId="164" formatCode="00000"/>
      <alignment horizontal="center" vertical="center" relativeIndent="255"/>
    </dxf>
    <dxf>
      <alignment horizontal="center" vertical="center"/>
    </dxf>
    <dxf>
      <alignment horizontal="center" vertical="center" relativeIndent="255"/>
    </dxf>
    <dxf>
      <alignment horizontal="center" vertical="center" relativeIndent="255"/>
    </dxf>
    <dxf>
      <alignment horizontal="center" vertical="center" relativeIndent="255"/>
    </dxf>
    <dxf>
      <numFmt numFmtId="19" formatCode="dd/mm/yyyy"/>
      <alignment horizontal="center" vertical="bottom"/>
    </dxf>
    <dxf>
      <alignment horizontal="center" vertical="bottom"/>
    </dxf>
    <dxf>
      <alignment horizontal="center" relativeIndent="255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tx>
            <strRef>
              <f>março!$M$8</f>
              <strCache>
                <ptCount val="1"/>
                <pt idx="0">
                  <v>quantidade</v>
                </pt>
              </strCache>
            </strRef>
          </tx>
          <spPr>
            <a:ln>
              <a:prstDash val="solid"/>
            </a:ln>
          </spPr>
          <dPt>
            <idx val="0"/>
            <spPr>
              <a:ln>
                <a:prstDash val="solid"/>
              </a:ln>
            </spPr>
          </dPt>
          <dLbls>
            <showPercent val="1"/>
            <showLeaderLines val="1"/>
          </dLbls>
          <cat>
            <strRef>
              <f>março!$L$9:$L$10</f>
              <strCache>
                <ptCount val="2"/>
                <pt idx="0">
                  <v>assinaram</v>
                </pt>
                <pt idx="1">
                  <v xml:space="preserve">não assinaram </v>
                </pt>
              </strCache>
            </strRef>
          </cat>
          <val>
            <numRef>
              <f>março!$M$9:$M$10</f>
              <numCache>
                <formatCode>General</formatCode>
                <ptCount val="2"/>
                <pt idx="0">
                  <v>167</v>
                </pt>
                <pt idx="1">
                  <v>69</v>
                </pt>
              </numCache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  <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Vendas</a:t>
            </a:r>
            <a:r>
              <a:rPr lang="en-US" baseline="0"/>
              <a:t xml:space="preserve"> por seguradora</a:t>
            </a:r>
            <a:endParaRPr lang="en-US"/>
          </a:p>
        </rich>
      </tx>
    </title>
    <plotArea>
      <layout/>
      <barChart>
        <barDir val="col"/>
        <grouping val="clustered"/>
        <ser>
          <idx val="0"/>
          <order val="0"/>
          <tx>
            <strRef>
              <f>março!$M$27</f>
              <strCache>
                <ptCount val="1"/>
                <pt idx="0">
                  <v>quantidade</v>
                </pt>
              </strCache>
            </strRef>
          </tx>
          <spPr>
            <a:ln>
              <a:prstDash val="solid"/>
            </a:ln>
          </spPr>
          <cat>
            <strRef>
              <f>março!$L$28:$L$41</f>
              <strCache>
                <ptCount val="14"/>
                <pt idx="0">
                  <v>Azul</v>
                </pt>
                <pt idx="1">
                  <v>Suhai</v>
                </pt>
                <pt idx="2">
                  <v>Tokio</v>
                </pt>
                <pt idx="3">
                  <v xml:space="preserve">Porto </v>
                </pt>
                <pt idx="4">
                  <v>Mapfre</v>
                </pt>
                <pt idx="5">
                  <v>Itaú</v>
                </pt>
                <pt idx="6">
                  <v>Allianz</v>
                </pt>
                <pt idx="7">
                  <v>Bradesco</v>
                </pt>
                <pt idx="8">
                  <v>Yellum</v>
                </pt>
                <pt idx="9">
                  <v>Zurich</v>
                </pt>
                <pt idx="10">
                  <v>Mitsui</v>
                </pt>
                <pt idx="11">
                  <v>Ezze</v>
                </pt>
                <pt idx="12">
                  <v>Aliro</v>
                </pt>
                <pt idx="13">
                  <v>HDI</v>
                </pt>
              </strCache>
            </strRef>
          </cat>
          <val>
            <numRef>
              <f>março!$M$28:$M$41</f>
              <numCache>
                <formatCode>General</formatCode>
                <ptCount val="14"/>
                <pt idx="0">
                  <v>73</v>
                </pt>
                <pt idx="1">
                  <v>61</v>
                </pt>
                <pt idx="2">
                  <v>40</v>
                </pt>
                <pt idx="3">
                  <v>31</v>
                </pt>
                <pt idx="4">
                  <v>12</v>
                </pt>
                <pt idx="5">
                  <v>6</v>
                </pt>
                <pt idx="6">
                  <v>7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gapWidth val="150"/>
        <axId val="99950592"/>
        <axId val="99952128"/>
      </barChart>
      <catAx>
        <axId val="99950592"/>
        <scaling>
          <orientation val="minMax"/>
        </scaling>
        <axPos val="b"/>
        <majorTickMark val="none"/>
        <minorTickMark val="none"/>
        <tickLblPos val="nextTo"/>
        <crossAx val="99952128"/>
        <crosses val="autoZero"/>
        <auto val="1"/>
        <lblAlgn val="ctr"/>
        <lblOffset val="100"/>
      </catAx>
      <valAx>
        <axId val="99952128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99950592"/>
        <crosses val="autoZero"/>
        <crossBetween val="between"/>
      </valAx>
    </plotArea>
    <plotVisOnly val="1"/>
    <dispBlanksAs val="gap"/>
  </chart>
  <spPr>
    <a:ln>
      <a:solidFill>
        <a:schemeClr val="tx1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[assinatura_limpa.xlsx]relatórios!Tabela dinâmica2</name>
    <fmtId val="2"/>
  </pivotSource>
  <chart>
    <title>
      <tx>
        <rich>
          <a:bodyPr/>
          <a:lstStyle/>
          <a:p>
            <a:pPr>
              <a:defRPr/>
            </a:pPr>
            <a:r>
              <a:rPr lang="en-US"/>
              <a:t>Vendas por mês</a:t>
            </a:r>
          </a:p>
        </rich>
      </tx>
    </title>
    <pivotFmts>
      <pivotFmt>
        <idx val="0"/>
      </pivotFmt>
      <pivotFmt>
        <idx val="1"/>
      </pivotFmt>
      <pivotFmt>
        <idx val="2"/>
        <dLbl>
          <idx val="0"/>
        </dLbl>
      </pivotFmt>
      <pivotFmt>
        <idx val="3"/>
        <marker>
          <symbol val="none"/>
          <spPr>
            <a:ln>
              <a:prstDash val="solid"/>
            </a:ln>
          </spPr>
        </marker>
      </pivotFmt>
    </pivotFmts>
    <plotArea>
      <layout/>
      <lineChart>
        <grouping val="stacked"/>
        <ser>
          <idx val="0"/>
          <order val="0"/>
          <tx>
            <strRef>
              <f>relatórios!$C$2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relatórios!$B$3:$B$10</f>
              <strCache>
                <ptCount val="7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</strCache>
            </strRef>
          </cat>
          <val>
            <numRef>
              <f>relatórios!$C$3:$C$10</f>
              <numCache>
                <formatCode>General</formatCode>
                <ptCount val="7"/>
                <pt idx="0">
                  <v>11</v>
                </pt>
                <pt idx="1">
                  <v>175</v>
                </pt>
                <pt idx="2">
                  <v>236</v>
                </pt>
                <pt idx="3">
                  <v>194</v>
                </pt>
                <pt idx="4">
                  <v>207</v>
                </pt>
                <pt idx="5">
                  <v>163</v>
                </pt>
                <pt idx="6">
                  <v>180</v>
                </pt>
              </numCache>
            </numRef>
          </val>
        </ser>
        <marker val="1"/>
        <axId val="161737728"/>
        <axId val="170656512"/>
      </lineChart>
      <catAx>
        <axId val="161737728"/>
        <scaling>
          <orientation val="minMax"/>
        </scaling>
        <axPos val="b"/>
        <majorTickMark val="none"/>
        <minorTickMark val="none"/>
        <tickLblPos val="nextTo"/>
        <crossAx val="170656512"/>
        <crosses val="autoZero"/>
        <auto val="1"/>
        <lblAlgn val="ctr"/>
        <lblOffset val="100"/>
      </catAx>
      <valAx>
        <axId val="17065651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1000" b="1"/>
            </a:pPr>
            <a:r>
              <a:t/>
            </a:r>
            <a:endParaRPr lang="pt-BR"/>
          </a:p>
        </txPr>
        <crossAx val="161737728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1181100</colOff>
      <row>6</row>
      <rowOff>104776</rowOff>
    </from>
    <to>
      <col>13</col>
      <colOff>28575</colOff>
      <row>14</row>
      <rowOff>104776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1095375</colOff>
      <row>25</row>
      <rowOff>142875</rowOff>
    </from>
    <to>
      <col>15</col>
      <colOff>238125</colOff>
      <row>41</row>
      <rowOff>9525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581987</colOff>
      <row>1</row>
      <rowOff>189540</rowOff>
    </from>
    <to>
      <col>13</col>
      <colOff>567578</colOff>
      <row>20</row>
      <rowOff>119903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na Luiza" refreshedDate="46234.56054050926" createdVersion="3" refreshedVersion="3" minRefreshableVersion="3" recordCount="1191" r:id="rId1">
  <cacheSource type="worksheet">
    <worksheetSource name="Tabela7351013101216101517"/>
  </cacheSource>
  <cacheFields count="12">
    <cacheField name="1° envio" uniqueList="1" numFmtId="14" sqlType="0" hierarchy="0" level="0" databaseField="1">
      <sharedItems count="0" containsBlank="1" containsDate="1" containsNonDate="0" containsString="0" minDate="2025-01-28T00:00:00" maxDate="2026-08-01T00:00:00"/>
    </cacheField>
    <cacheField name="2° envio" uniqueList="1" numFmtId="14" sqlType="0" hierarchy="0" level="0" databaseField="1">
      <sharedItems count="0" containsBlank="1" containsDate="1" containsNonDate="0" containsString="0" minDate="2026-01-31T00:00:00" maxDate="2026-08-04T00:00:00"/>
    </cacheField>
    <cacheField name="e-mail" uniqueList="1" numFmtId="14" sqlType="0" hierarchy="0" level="0" databaseField="1">
      <sharedItems count="0" containsBlank="1" containsDate="1" containsNonDate="0" containsString="0" minDate="2026-02-03T00:00:00" maxDate="2026-08-07T00:00:00"/>
    </cacheField>
    <cacheField name="Nome do cliente" uniqueList="1" numFmtId="0" sqlType="0" hierarchy="0" level="0" databaseField="1">
      <sharedItems count="0" containsBlank="1"/>
    </cacheField>
    <cacheField name="Seguradora" uniqueList="1" numFmtId="0" sqlType="0" hierarchy="0" level="0" databaseField="1">
      <sharedItems count="13" containsBlank="1">
        <s v="Azul"/>
        <s v="Suhai"/>
        <s v="Tokio"/>
        <s v="Porto"/>
        <s v="Mapfre"/>
        <s v="Allianz"/>
        <s v="Zurich"/>
        <s v="HDI"/>
        <s v="Aliro"/>
        <s v="Itaú"/>
        <s v="Yellum"/>
        <s v="Bradesco"/>
        <m/>
      </sharedItems>
    </cacheField>
    <cacheField name="Consultor" uniqueList="1" numFmtId="0" sqlType="0" hierarchy="0" level="0" databaseField="1">
      <sharedItems count="0" containsBlank="1"/>
    </cacheField>
    <cacheField name="Gênero" uniqueList="1" numFmtId="0" sqlType="0" hierarchy="0" level="0" databaseField="1">
      <sharedItems count="0" containsBlank="1"/>
    </cacheField>
    <cacheField name="Telefone" uniqueList="1" numFmtId="0" sqlType="0" hierarchy="0" level="0" databaseField="1">
      <sharedItems count="0" containsBlank="1" containsInteger="1" containsNumber="1" containsString="0" minValue="551932307850" maxValue="5599985445569"/>
    </cacheField>
    <cacheField name="Tipo" uniqueList="1" numFmtId="0" sqlType="0" hierarchy="0" level="0" databaseField="1">
      <sharedItems count="0" containsBlank="1"/>
    </cacheField>
    <cacheField name="Status" uniqueList="1" numFmtId="0" sqlType="0" hierarchy="0" level="0" databaseField="1">
      <sharedItems count="0" containsBlank="1"/>
    </cacheField>
    <cacheField name="Planilha " uniqueList="1" numFmtId="14" sqlType="0" hierarchy="0" level="0" databaseField="1">
      <sharedItems count="0" containsBlank="1" containsDate="1" containsNonDate="0" containsString="0" minDate="2026-02-06T00:00:00" maxDate="2026-08-10T00:00:00"/>
    </cacheField>
    <cacheField name="Mês" uniqueList="1" numFmtId="0" sqlType="0" hierarchy="0" level="0" databaseField="1">
      <sharedItems count="7">
        <s v="janeiro"/>
        <s v="fevereiro"/>
        <s v="março"/>
        <s v="abril"/>
        <s v="maio"/>
        <s v="junho"/>
        <s v="julho"/>
      </sharedItems>
    </cacheField>
  </cacheFields>
</pivotCacheDefinition>
</file>

<file path=xl/pivotCache/pivotCacheRecords1.xml><?xml version="1.0" encoding="utf-8"?>
<pivotCacheRecords xmlns="http://schemas.openxmlformats.org/spreadsheetml/2006/main" count="1191">
  <r>
    <d v="2025-01-28T00:00:00"/>
    <d v="2026-01-31T00:00:00"/>
    <d v="2026-02-03T00:00:00"/>
    <s v="LARISSA PEDROSA MONTEIRO"/>
    <x v="0"/>
    <s v="Isabella"/>
    <s v="F"/>
    <n v="5511984855931"/>
    <s v="Novo"/>
    <s v="Cancelado"/>
    <d v="2026-02-06T00:00:00"/>
    <x v="0"/>
  </r>
  <r>
    <d v="2026-01-28T00:00:00"/>
    <d v="2026-01-31T00:00:00"/>
    <d v="2026-02-03T00:00:00"/>
    <s v="PATRICIA CONCEICAO DOS SANTOS"/>
    <x v="0"/>
    <s v="Jacqueline"/>
    <s v="F"/>
    <n v="5521971438816"/>
    <s v="Novo"/>
    <s v="Assinado"/>
    <d v="2026-02-06T00:00:00"/>
    <x v="0"/>
  </r>
  <r>
    <d v="2026-01-29T00:00:00"/>
    <d v="2026-02-01T00:00:00"/>
    <d v="2026-02-04T00:00:00"/>
    <s v="RENAN FRANCA MARTINS"/>
    <x v="1"/>
    <s v="Jacqueline"/>
    <s v="F"/>
    <n v="5511994228907"/>
    <s v="Novo"/>
    <s v="Cancelado"/>
    <d v="2026-02-07T00:00:00"/>
    <x v="0"/>
  </r>
  <r>
    <d v="2026-01-29T00:00:00"/>
    <d v="2026-02-01T00:00:00"/>
    <d v="2026-02-04T00:00:00"/>
    <s v="ANALDETE ALVES DE HOLANDA"/>
    <x v="2"/>
    <s v="Jacqueline"/>
    <s v="F"/>
    <n v="5511963401135"/>
    <s v="Novo"/>
    <s v="Assinado"/>
    <d v="2026-02-07T00:00:00"/>
    <x v="0"/>
  </r>
  <r>
    <d v="2026-01-29T00:00:00"/>
    <d v="2026-02-01T00:00:00"/>
    <d v="2026-02-04T00:00:00"/>
    <s v="GENIVALDO DE OLIVEIRA MACEDO"/>
    <x v="0"/>
    <s v="Leticia"/>
    <s v="F"/>
    <n v="5512988834956"/>
    <s v="Novo"/>
    <s v="Assinado"/>
    <d v="2026-02-07T00:00:00"/>
    <x v="0"/>
  </r>
  <r>
    <d v="2026-01-29T00:00:00"/>
    <d v="2026-02-01T00:00:00"/>
    <d v="2026-02-04T00:00:00"/>
    <s v="JOSE JOSMAR DE ALMEIDA"/>
    <x v="3"/>
    <s v="John"/>
    <s v="M"/>
    <n v="5519982884978"/>
    <s v="Novo"/>
    <s v="Assinado(manual)"/>
    <d v="2026-02-07T00:00:00"/>
    <x v="0"/>
  </r>
  <r>
    <d v="2026-01-30T00:00:00"/>
    <d v="2026-02-02T00:00:00"/>
    <d v="2026-02-05T00:00:00"/>
    <s v="DAYTON RICARDO DA SILVA"/>
    <x v="1"/>
    <s v="Isabella"/>
    <s v="F"/>
    <n v="5511958878710"/>
    <s v="Novo"/>
    <s v="Assinado"/>
    <d v="2026-02-08T00:00:00"/>
    <x v="0"/>
  </r>
  <r>
    <d v="2026-01-30T00:00:00"/>
    <d v="2026-02-02T00:00:00"/>
    <d v="2026-02-05T00:00:00"/>
    <s v="CLAUDIA BONATTI DE PAULA"/>
    <x v="0"/>
    <s v="Enzo"/>
    <s v="M"/>
    <n v="5511958878710"/>
    <s v="Novo"/>
    <s v="Assinado"/>
    <d v="2026-02-08T00:00:00"/>
    <x v="0"/>
  </r>
  <r>
    <d v="2026-01-30T00:00:00"/>
    <d v="2026-02-02T00:00:00"/>
    <d v="2026-02-05T00:00:00"/>
    <s v="SIDNEY DE SOUZA"/>
    <x v="0"/>
    <s v="Jacqueline"/>
    <s v="F"/>
    <n v="5544998353393"/>
    <s v="Novo"/>
    <s v="Assinado"/>
    <d v="2026-02-08T00:00:00"/>
    <x v="0"/>
  </r>
  <r>
    <d v="2026-01-30T00:00:00"/>
    <d v="2026-02-02T00:00:00"/>
    <d v="2026-02-05T00:00:00"/>
    <s v="THIAGO REIS MATOS DE CHAGAS_x000a_"/>
    <x v="1"/>
    <s v="John"/>
    <s v="M"/>
    <n v="5511940803879"/>
    <s v="Novo"/>
    <s v="Assinado"/>
    <d v="2026-02-08T00:00:00"/>
    <x v="0"/>
  </r>
  <r>
    <d v="2026-01-30T00:00:00"/>
    <d v="2026-02-02T00:00:00"/>
    <d v="2026-02-05T00:00:00"/>
    <s v="JOELSON RODRIGUES DE SOUZA"/>
    <x v="0"/>
    <s v="Jacqueline"/>
    <s v="F"/>
    <n v="5511949124252"/>
    <s v="Novo"/>
    <s v="Assinado"/>
    <d v="2026-02-08T00:00:00"/>
    <x v="0"/>
  </r>
  <r>
    <d v="2026-02-02T00:00:00"/>
    <d v="2026-02-05T00:00:00"/>
    <d v="2026-02-08T00:00:00"/>
    <s v="ANTONIO ELIDONE DE SOUZA"/>
    <x v="0"/>
    <s v="Enzo"/>
    <m/>
    <m/>
    <m/>
    <s v="Pendente"/>
    <d v="2026-02-11T00:00:00"/>
    <x v="1"/>
  </r>
  <r>
    <d v="2026-02-02T00:00:00"/>
    <d v="2026-02-05T00:00:00"/>
    <d v="2026-02-08T00:00:00"/>
    <s v="SERGIO DE VASCONCELLOS"/>
    <x v="2"/>
    <s v="Enzo"/>
    <m/>
    <m/>
    <m/>
    <s v="Pendente"/>
    <d v="2026-02-11T00:00:00"/>
    <x v="1"/>
  </r>
  <r>
    <d v="2026-02-02T00:00:00"/>
    <d v="2026-02-05T00:00:00"/>
    <d v="2026-02-08T00:00:00"/>
    <s v="ERIVAN DA CONCEICAO"/>
    <x v="0"/>
    <s v="Isabella"/>
    <s v="F"/>
    <m/>
    <m/>
    <s v="Pendente"/>
    <d v="2026-02-11T00:00:00"/>
    <x v="1"/>
  </r>
  <r>
    <d v="2026-02-03T00:00:00"/>
    <d v="2026-02-06T00:00:00"/>
    <d v="2026-02-09T00:00:00"/>
    <s v="JOSE RAIMUNDO ALVES ALMEIDA"/>
    <x v="1"/>
    <s v="Leticia"/>
    <s v="F"/>
    <m/>
    <m/>
    <s v="Pendente"/>
    <d v="2026-02-12T00:00:00"/>
    <x v="1"/>
  </r>
  <r>
    <d v="2026-02-03T00:00:00"/>
    <d v="2026-02-06T00:00:00"/>
    <d v="2026-02-09T00:00:00"/>
    <s v="JOSE EDUARDO SANTOS DE SOUZA"/>
    <x v="4"/>
    <s v="Leticia"/>
    <s v="F"/>
    <m/>
    <m/>
    <s v="Pendente"/>
    <d v="2026-02-12T00:00:00"/>
    <x v="1"/>
  </r>
  <r>
    <d v="2026-02-03T00:00:00"/>
    <d v="2026-02-06T00:00:00"/>
    <d v="2026-02-09T00:00:00"/>
    <s v="EDINEIS TEODORO NEVES ALMEIDA"/>
    <x v="0"/>
    <s v="Myrelle"/>
    <s v="F"/>
    <m/>
    <m/>
    <s v="Pendente"/>
    <d v="2026-02-12T00:00:00"/>
    <x v="1"/>
  </r>
  <r>
    <d v="2026-02-03T00:00:00"/>
    <d v="2026-02-06T00:00:00"/>
    <d v="2026-02-09T00:00:00"/>
    <s v="SEBASTIAO PEREIRA"/>
    <x v="2"/>
    <s v="Jacqueline"/>
    <s v="F"/>
    <m/>
    <m/>
    <s v="Pendente"/>
    <d v="2026-02-12T00:00:00"/>
    <x v="1"/>
  </r>
  <r>
    <d v="2026-02-03T00:00:00"/>
    <d v="2026-02-06T00:00:00"/>
    <d v="2026-02-09T00:00:00"/>
    <s v="VALDIR MARIA DE JESUS"/>
    <x v="0"/>
    <s v="Jacqueline"/>
    <s v="F"/>
    <m/>
    <m/>
    <s v="Pendente"/>
    <d v="2026-02-12T00:00:00"/>
    <x v="1"/>
  </r>
  <r>
    <d v="2026-02-03T00:00:00"/>
    <d v="2026-02-06T00:00:00"/>
    <d v="2026-02-09T00:00:00"/>
    <s v="CRISTIANE OLIVEIRA SOUZA"/>
    <x v="1"/>
    <s v="Jacqueline"/>
    <s v="F"/>
    <m/>
    <m/>
    <s v="Pendente"/>
    <d v="2026-02-12T00:00:00"/>
    <x v="1"/>
  </r>
  <r>
    <d v="2026-02-03T00:00:00"/>
    <d v="2026-02-06T00:00:00"/>
    <d v="2026-02-09T00:00:00"/>
    <s v="JOSE EDUARDO GASPAROTI"/>
    <x v="4"/>
    <s v="John"/>
    <s v="M"/>
    <m/>
    <m/>
    <s v="Pendente"/>
    <d v="2026-02-12T00:00:00"/>
    <x v="1"/>
  </r>
  <r>
    <d v="2026-02-03T00:00:00"/>
    <d v="2026-02-06T00:00:00"/>
    <d v="2026-02-09T00:00:00"/>
    <s v="PAOLI E LEIROS COMERCIO DE ALIMENTOS LTDA"/>
    <x v="3"/>
    <s v="John"/>
    <s v="M"/>
    <m/>
    <m/>
    <s v="Pendente"/>
    <d v="2026-02-12T00:00:00"/>
    <x v="1"/>
  </r>
  <r>
    <d v="2026-02-03T00:00:00"/>
    <d v="2026-02-06T00:00:00"/>
    <d v="2026-02-09T00:00:00"/>
    <s v="EDUARDO LUIS OLIBONI BASTOS"/>
    <x v="5"/>
    <s v="John"/>
    <s v="M"/>
    <m/>
    <m/>
    <s v="Pendente"/>
    <d v="2026-02-12T00:00:00"/>
    <x v="1"/>
  </r>
  <r>
    <d v="2026-02-03T00:00:00"/>
    <d v="2026-02-06T00:00:00"/>
    <d v="2026-02-09T00:00:00"/>
    <s v="PLINIO MARCOS FERRARI"/>
    <x v="6"/>
    <s v="Enzo"/>
    <m/>
    <m/>
    <m/>
    <s v="Pendente"/>
    <d v="2026-02-12T00:00:00"/>
    <x v="1"/>
  </r>
  <r>
    <d v="2026-02-03T00:00:00"/>
    <d v="2026-02-06T00:00:00"/>
    <d v="2026-02-09T00:00:00"/>
    <s v="EDUARDO ATSUSHI KAWAI"/>
    <x v="2"/>
    <s v="Enzo"/>
    <m/>
    <m/>
    <m/>
    <s v="Pendente"/>
    <d v="2026-02-12T00:00:00"/>
    <x v="1"/>
  </r>
  <r>
    <d v="2026-02-03T00:00:00"/>
    <d v="2026-02-06T00:00:00"/>
    <d v="2026-02-09T00:00:00"/>
    <s v="ANDRE LUIZ FERREIRA"/>
    <x v="0"/>
    <s v="Enzo"/>
    <m/>
    <m/>
    <m/>
    <s v="Pendente"/>
    <d v="2026-02-12T00:00:00"/>
    <x v="1"/>
  </r>
  <r>
    <d v="2026-02-03T00:00:00"/>
    <d v="2026-02-06T00:00:00"/>
    <d v="2026-02-09T00:00:00"/>
    <s v="ANDRE LUIZ FERREIRA"/>
    <x v="1"/>
    <s v="Enzo"/>
    <m/>
    <m/>
    <m/>
    <s v="Pendente"/>
    <d v="2026-02-12T00:00:00"/>
    <x v="1"/>
  </r>
  <r>
    <d v="2026-02-03T00:00:00"/>
    <d v="2026-02-06T00:00:00"/>
    <d v="2026-02-09T00:00:00"/>
    <s v="RAQUEL DIAS DE ARAUJO"/>
    <x v="1"/>
    <s v="Enzo"/>
    <m/>
    <m/>
    <m/>
    <s v="Pendente"/>
    <d v="2026-02-12T00:00:00"/>
    <x v="1"/>
  </r>
  <r>
    <d v="2026-02-04T00:00:00"/>
    <d v="2026-02-07T00:00:00"/>
    <d v="2026-02-10T00:00:00"/>
    <s v="CESAR SALVINO DO NASCIMENTO"/>
    <x v="1"/>
    <s v="John"/>
    <s v="M"/>
    <m/>
    <m/>
    <s v="Pendente"/>
    <d v="2026-02-13T00:00:00"/>
    <x v="1"/>
  </r>
  <r>
    <d v="2026-02-04T00:00:00"/>
    <d v="2026-02-07T00:00:00"/>
    <d v="2026-02-10T00:00:00"/>
    <s v="ARLINDA VENANCIO DE MELO"/>
    <x v="2"/>
    <s v="John"/>
    <s v="M"/>
    <m/>
    <m/>
    <s v="Pendente"/>
    <d v="2026-02-13T00:00:00"/>
    <x v="1"/>
  </r>
  <r>
    <d v="2026-02-04T00:00:00"/>
    <d v="2026-02-07T00:00:00"/>
    <d v="2026-02-10T00:00:00"/>
    <s v="MARGOS EDUARDO GIMENES PENESSOR"/>
    <x v="3"/>
    <s v="Leticia"/>
    <s v="F"/>
    <m/>
    <m/>
    <s v="Pendente"/>
    <d v="2026-02-13T00:00:00"/>
    <x v="1"/>
  </r>
  <r>
    <d v="2026-02-04T00:00:00"/>
    <d v="2026-02-07T00:00:00"/>
    <d v="2026-02-10T00:00:00"/>
    <s v="GILMAR PEREIRA DA SILVA"/>
    <x v="0"/>
    <s v="Leticia"/>
    <s v="F"/>
    <m/>
    <m/>
    <s v="Pendente"/>
    <d v="2026-02-13T00:00:00"/>
    <x v="1"/>
  </r>
  <r>
    <d v="2026-02-04T00:00:00"/>
    <d v="2026-02-07T00:00:00"/>
    <d v="2026-02-10T00:00:00"/>
    <s v="ALEX GOMES DE LIMA"/>
    <x v="1"/>
    <s v="Jacqueline"/>
    <s v="F"/>
    <m/>
    <m/>
    <s v="Pendente"/>
    <d v="2026-02-13T00:00:00"/>
    <x v="1"/>
  </r>
  <r>
    <d v="2026-02-04T00:00:00"/>
    <d v="2026-02-07T00:00:00"/>
    <d v="2026-02-10T00:00:00"/>
    <s v="LUIS ANTONIO MACHADO"/>
    <x v="0"/>
    <s v="Isabella"/>
    <s v="F"/>
    <m/>
    <m/>
    <s v="Pendente"/>
    <d v="2026-02-13T00:00:00"/>
    <x v="1"/>
  </r>
  <r>
    <d v="2026-02-04T00:00:00"/>
    <d v="2026-02-07T00:00:00"/>
    <d v="2026-02-10T00:00:00"/>
    <s v="PEDRO HENRIQUE SILVA ALVES"/>
    <x v="2"/>
    <s v="Isabella"/>
    <s v="F"/>
    <m/>
    <m/>
    <s v="Pendente"/>
    <d v="2026-02-13T00:00:00"/>
    <x v="1"/>
  </r>
  <r>
    <d v="2026-02-04T00:00:00"/>
    <d v="2026-02-07T00:00:00"/>
    <d v="2026-02-10T00:00:00"/>
    <s v="VALDIR CORREA"/>
    <x v="0"/>
    <s v="Valéria"/>
    <m/>
    <m/>
    <m/>
    <s v="Pendente"/>
    <d v="2026-02-13T00:00:00"/>
    <x v="1"/>
  </r>
  <r>
    <d v="2026-02-04T00:00:00"/>
    <d v="2026-02-07T00:00:00"/>
    <d v="2026-02-10T00:00:00"/>
    <s v="RICARDO SEVERINO REIS"/>
    <x v="0"/>
    <s v="Jacqueline"/>
    <s v="F"/>
    <m/>
    <m/>
    <s v="Pendente"/>
    <d v="2026-02-13T00:00:00"/>
    <x v="1"/>
  </r>
  <r>
    <d v="2026-02-05T00:00:00"/>
    <d v="2026-02-08T00:00:00"/>
    <d v="2026-02-11T00:00:00"/>
    <s v="THAMIRES RODRIGUES DE BARROS"/>
    <x v="2"/>
    <s v="John"/>
    <s v="M"/>
    <m/>
    <m/>
    <s v="Pendente"/>
    <d v="2026-02-14T00:00:00"/>
    <x v="1"/>
  </r>
  <r>
    <d v="2026-02-05T00:00:00"/>
    <d v="2026-02-08T00:00:00"/>
    <d v="2026-02-11T00:00:00"/>
    <s v="LEANDRO APARECIDO PORTES FAGUNDES"/>
    <x v="0"/>
    <s v="Enzo"/>
    <m/>
    <m/>
    <m/>
    <s v="Pendente"/>
    <d v="2026-02-14T00:00:00"/>
    <x v="1"/>
  </r>
  <r>
    <d v="2026-02-05T00:00:00"/>
    <d v="2026-02-08T00:00:00"/>
    <d v="2026-02-11T00:00:00"/>
    <s v="LEANDRO APARECIDO PORTES FAGUNDES"/>
    <x v="0"/>
    <s v="Enzo"/>
    <m/>
    <m/>
    <m/>
    <s v="Pendente"/>
    <d v="2026-02-14T00:00:00"/>
    <x v="1"/>
  </r>
  <r>
    <d v="2026-02-05T00:00:00"/>
    <d v="2026-02-08T00:00:00"/>
    <d v="2026-02-11T00:00:00"/>
    <s v="FRANCISCO IJAIRE PEREIRA"/>
    <x v="0"/>
    <s v="Leticia"/>
    <s v="F"/>
    <m/>
    <m/>
    <s v="Pendente"/>
    <d v="2026-02-14T00:00:00"/>
    <x v="1"/>
  </r>
  <r>
    <d v="2026-02-05T00:00:00"/>
    <d v="2026-02-08T00:00:00"/>
    <d v="2026-02-11T00:00:00"/>
    <s v="LUIZ DE OLIVEIRA SILVA"/>
    <x v="2"/>
    <s v="Isabella"/>
    <s v="F"/>
    <m/>
    <m/>
    <s v="Pendente"/>
    <d v="2026-02-14T00:00:00"/>
    <x v="1"/>
  </r>
  <r>
    <d v="2026-02-06T00:00:00"/>
    <d v="2026-02-09T00:00:00"/>
    <d v="2026-02-12T00:00:00"/>
    <s v="CARLOS AFONSO DE ALMEIDA"/>
    <x v="0"/>
    <s v="Enzo"/>
    <m/>
    <m/>
    <m/>
    <s v="Pendente"/>
    <d v="2026-02-15T00:00:00"/>
    <x v="1"/>
  </r>
  <r>
    <d v="2026-02-06T00:00:00"/>
    <d v="2026-02-09T00:00:00"/>
    <d v="2026-02-12T00:00:00"/>
    <s v="THAYNA CAMARGO DE OLIVEIRA"/>
    <x v="0"/>
    <s v="Enzo"/>
    <m/>
    <m/>
    <m/>
    <s v="Pendente"/>
    <d v="2026-02-15T00:00:00"/>
    <x v="1"/>
  </r>
  <r>
    <d v="2026-02-06T00:00:00"/>
    <d v="2026-02-09T00:00:00"/>
    <d v="2026-02-12T00:00:00"/>
    <s v="LUCIANO DA SILVA FURTADO"/>
    <x v="7"/>
    <s v="Leticia"/>
    <s v="F"/>
    <m/>
    <m/>
    <s v="Pendente"/>
    <d v="2026-02-15T00:00:00"/>
    <x v="1"/>
  </r>
  <r>
    <d v="2026-02-06T00:00:00"/>
    <d v="2026-02-09T00:00:00"/>
    <d v="2026-02-12T00:00:00"/>
    <s v="HIGOR ROGERIO DA SILVA"/>
    <x v="4"/>
    <s v="Leticia"/>
    <s v="F"/>
    <m/>
    <m/>
    <s v="Pendente"/>
    <d v="2026-02-15T00:00:00"/>
    <x v="1"/>
  </r>
  <r>
    <d v="2026-02-06T00:00:00"/>
    <d v="2026-02-09T00:00:00"/>
    <d v="2026-02-12T00:00:00"/>
    <s v="JOSE CARLOS DE ANDRADE"/>
    <x v="0"/>
    <s v="John"/>
    <s v="M"/>
    <m/>
    <m/>
    <s v="Pendente"/>
    <d v="2026-02-15T00:00:00"/>
    <x v="1"/>
  </r>
  <r>
    <d v="2026-02-06T00:00:00"/>
    <d v="2026-02-09T00:00:00"/>
    <d v="2026-02-12T00:00:00"/>
    <s v="CAIQUE SPEZZANO DA SILVA"/>
    <x v="1"/>
    <s v="John"/>
    <s v="M"/>
    <m/>
    <m/>
    <s v="Pendente"/>
    <d v="2026-02-15T00:00:00"/>
    <x v="1"/>
  </r>
  <r>
    <d v="2026-02-06T00:00:00"/>
    <d v="2026-02-09T00:00:00"/>
    <d v="2026-02-12T00:00:00"/>
    <s v="CLECIA CABRAL DOS SANTOS"/>
    <x v="1"/>
    <s v="John"/>
    <s v="M"/>
    <m/>
    <m/>
    <s v="Pendente"/>
    <d v="2026-02-15T00:00:00"/>
    <x v="1"/>
  </r>
  <r>
    <d v="2026-02-06T00:00:00"/>
    <d v="2026-02-09T00:00:00"/>
    <d v="2026-02-12T00:00:00"/>
    <s v="NATHAN PETRIN SOUSA DA SILVA"/>
    <x v="1"/>
    <s v="Isabella"/>
    <s v="F"/>
    <m/>
    <m/>
    <s v="Pendente"/>
    <d v="2026-02-15T00:00:00"/>
    <x v="1"/>
  </r>
  <r>
    <d v="2026-02-06T00:00:00"/>
    <d v="2026-02-09T00:00:00"/>
    <d v="2026-02-12T00:00:00"/>
    <s v="MOACIR CARLOS OLIVEIRA MOURA"/>
    <x v="0"/>
    <s v="Isabella"/>
    <s v="F"/>
    <m/>
    <m/>
    <s v="Pendente"/>
    <d v="2026-02-15T00:00:00"/>
    <x v="1"/>
  </r>
  <r>
    <d v="2026-02-06T00:00:00"/>
    <d v="2026-02-09T00:00:00"/>
    <d v="2026-02-12T00:00:00"/>
    <s v="CRISTIANO DIAS BIANCHI"/>
    <x v="0"/>
    <s v="Leticia"/>
    <s v="F"/>
    <m/>
    <m/>
    <s v="Pendente"/>
    <d v="2026-02-15T00:00:00"/>
    <x v="1"/>
  </r>
  <r>
    <d v="2026-02-06T00:00:00"/>
    <d v="2026-02-09T00:00:00"/>
    <d v="2026-02-12T00:00:00"/>
    <s v="ALESSANDRO GORI DE ALMEIDA"/>
    <x v="3"/>
    <s v="Leticia"/>
    <s v="F"/>
    <m/>
    <m/>
    <s v="Pendente"/>
    <d v="2026-02-15T00:00:00"/>
    <x v="1"/>
  </r>
  <r>
    <d v="2026-02-06T00:00:00"/>
    <d v="2026-02-09T00:00:00"/>
    <d v="2026-02-12T00:00:00"/>
    <s v="ROMILSON DOS SANTOS COSTA"/>
    <x v="0"/>
    <s v="Leticia"/>
    <s v="F"/>
    <m/>
    <m/>
    <s v="Pendente"/>
    <d v="2026-02-15T00:00:00"/>
    <x v="1"/>
  </r>
  <r>
    <d v="2026-02-06T00:00:00"/>
    <d v="2026-02-09T00:00:00"/>
    <d v="2026-02-12T00:00:00"/>
    <s v="NICOLLE LUCIA DE LIMA BASSETTO"/>
    <x v="8"/>
    <s v="John"/>
    <s v="M"/>
    <m/>
    <m/>
    <s v="Pendente"/>
    <d v="2026-02-15T00:00:00"/>
    <x v="1"/>
  </r>
  <r>
    <d v="2026-02-06T00:00:00"/>
    <d v="2026-02-09T00:00:00"/>
    <d v="2026-02-12T00:00:00"/>
    <s v="JOSE GERALDO DA SILVA"/>
    <x v="2"/>
    <s v="John"/>
    <s v="M"/>
    <m/>
    <m/>
    <s v="Pendente"/>
    <d v="2026-02-15T00:00:00"/>
    <x v="1"/>
  </r>
  <r>
    <d v="2026-02-09T00:00:00"/>
    <d v="2026-02-12T00:00:00"/>
    <d v="2026-02-15T00:00:00"/>
    <s v="RENATO MELGARES DE MELO"/>
    <x v="4"/>
    <s v="Enzo"/>
    <m/>
    <m/>
    <m/>
    <s v="Pendente"/>
    <d v="2026-02-18T00:00:00"/>
    <x v="1"/>
  </r>
  <r>
    <d v="2026-02-09T00:00:00"/>
    <d v="2026-02-12T00:00:00"/>
    <d v="2026-02-15T00:00:00"/>
    <s v="DANIELA GOECKS RIBEIRO DE MEDEIROS"/>
    <x v="0"/>
    <s v="Enzo"/>
    <m/>
    <m/>
    <m/>
    <s v="Pendente"/>
    <d v="2026-02-18T00:00:00"/>
    <x v="1"/>
  </r>
  <r>
    <d v="2026-02-09T00:00:00"/>
    <d v="2026-02-12T00:00:00"/>
    <d v="2026-02-15T00:00:00"/>
    <s v="GLAUCIANE REGINA DE OLIVEIRA"/>
    <x v="2"/>
    <s v="Enzo"/>
    <m/>
    <m/>
    <m/>
    <s v="Pendente"/>
    <d v="2026-02-18T00:00:00"/>
    <x v="1"/>
  </r>
  <r>
    <d v="2026-02-09T00:00:00"/>
    <d v="2026-02-12T00:00:00"/>
    <d v="2026-02-15T00:00:00"/>
    <s v="ADILTON SILVA SOUZA"/>
    <x v="0"/>
    <s v="Enzo"/>
    <m/>
    <m/>
    <m/>
    <s v="Pendente"/>
    <d v="2026-02-18T00:00:00"/>
    <x v="1"/>
  </r>
  <r>
    <d v="2026-02-09T00:00:00"/>
    <d v="2026-02-12T00:00:00"/>
    <d v="2026-02-15T00:00:00"/>
    <s v="ANGELO DIVINO MARTINS DE OLIVEIRA"/>
    <x v="1"/>
    <s v="John"/>
    <s v="M"/>
    <m/>
    <m/>
    <s v="Pendente"/>
    <d v="2026-02-18T00:00:00"/>
    <x v="1"/>
  </r>
  <r>
    <d v="2026-02-09T00:00:00"/>
    <d v="2026-02-12T00:00:00"/>
    <d v="2026-02-15T00:00:00"/>
    <s v="VALDIR BARBOSA FREITAS"/>
    <x v="2"/>
    <s v="John"/>
    <s v="M"/>
    <m/>
    <m/>
    <s v="Pendente"/>
    <d v="2026-02-18T00:00:00"/>
    <x v="1"/>
  </r>
  <r>
    <d v="2026-02-09T00:00:00"/>
    <d v="2026-02-12T00:00:00"/>
    <d v="2026-02-15T00:00:00"/>
    <s v="ROBSON GOMES BARBOSA"/>
    <x v="1"/>
    <s v="Leticia"/>
    <s v="F"/>
    <m/>
    <m/>
    <s v="Pendente"/>
    <d v="2026-02-18T00:00:00"/>
    <x v="1"/>
  </r>
  <r>
    <d v="2026-02-09T00:00:00"/>
    <d v="2026-02-12T00:00:00"/>
    <d v="2026-02-15T00:00:00"/>
    <s v="CRISTOVAO LEANDRO XAVIER SOUZA"/>
    <x v="2"/>
    <s v="Leticia"/>
    <s v="F"/>
    <m/>
    <m/>
    <s v="Pendente"/>
    <d v="2026-02-18T00:00:00"/>
    <x v="1"/>
  </r>
  <r>
    <d v="2026-02-10T00:00:00"/>
    <d v="2026-02-13T00:00:00"/>
    <d v="2026-02-16T00:00:00"/>
    <s v="MATHEUS NASCIMENTO DA SILVA"/>
    <x v="1"/>
    <s v="John"/>
    <s v="M"/>
    <m/>
    <m/>
    <s v="Pendente"/>
    <d v="2026-02-19T00:00:00"/>
    <x v="1"/>
  </r>
  <r>
    <d v="2026-02-10T00:00:00"/>
    <d v="2026-02-13T00:00:00"/>
    <d v="2026-02-16T00:00:00"/>
    <s v="RAQUEL DE OLIVEIRA BLOCH MARINS"/>
    <x v="1"/>
    <s v="Myrelle"/>
    <s v="F"/>
    <m/>
    <m/>
    <s v="Pendente"/>
    <d v="2026-02-19T00:00:00"/>
    <x v="1"/>
  </r>
  <r>
    <d v="2026-02-10T00:00:00"/>
    <d v="2026-02-13T00:00:00"/>
    <d v="2026-02-16T00:00:00"/>
    <s v="REGIS ALEXANDRE MIRANDA PEREIRA"/>
    <x v="1"/>
    <s v="Leticia"/>
    <s v="F"/>
    <m/>
    <m/>
    <s v="Pendente"/>
    <d v="2026-02-19T00:00:00"/>
    <x v="1"/>
  </r>
  <r>
    <d v="2026-02-10T00:00:00"/>
    <d v="2026-02-13T00:00:00"/>
    <d v="2026-02-16T00:00:00"/>
    <s v="JOELSON RODRIGUES DE SOUZA"/>
    <x v="0"/>
    <s v="Jacqueline"/>
    <s v="F"/>
    <m/>
    <m/>
    <s v="Pendente"/>
    <d v="2026-02-19T00:00:00"/>
    <x v="1"/>
  </r>
  <r>
    <d v="2026-02-10T00:00:00"/>
    <d v="2026-02-13T00:00:00"/>
    <d v="2026-02-16T00:00:00"/>
    <s v="ANDERSON DOS SANTOS SILVA"/>
    <x v="2"/>
    <s v="Jacqueline"/>
    <s v="F"/>
    <m/>
    <m/>
    <s v="Pendente"/>
    <d v="2026-02-19T00:00:00"/>
    <x v="1"/>
  </r>
  <r>
    <d v="2026-02-10T00:00:00"/>
    <d v="2026-02-13T00:00:00"/>
    <d v="2026-02-16T00:00:00"/>
    <s v="ANDERSON DOS SANTOS SILVA"/>
    <x v="1"/>
    <s v="Jacqueline"/>
    <s v="F"/>
    <m/>
    <m/>
    <s v="Pendente"/>
    <d v="2026-02-19T00:00:00"/>
    <x v="1"/>
  </r>
  <r>
    <d v="2026-02-10T00:00:00"/>
    <d v="2026-02-13T00:00:00"/>
    <d v="2026-02-16T00:00:00"/>
    <s v="DANIEL DONIZETE ALVES DE OLIVEIRA"/>
    <x v="9"/>
    <s v="Jacqueline"/>
    <s v="F"/>
    <m/>
    <m/>
    <s v="Pendente"/>
    <d v="2026-02-19T00:00:00"/>
    <x v="1"/>
  </r>
  <r>
    <d v="2026-02-10T00:00:00"/>
    <d v="2026-02-13T00:00:00"/>
    <d v="2026-02-16T00:00:00"/>
    <s v="MARIA CRISTINA SANHO"/>
    <x v="2"/>
    <s v="Jacqueline"/>
    <s v="F"/>
    <m/>
    <m/>
    <s v="Pendente"/>
    <d v="2026-02-19T00:00:00"/>
    <x v="1"/>
  </r>
  <r>
    <d v="2026-02-10T00:00:00"/>
    <d v="2026-02-13T00:00:00"/>
    <d v="2026-02-16T00:00:00"/>
    <s v="FERNANDA SILVA DE OLIVEIRA"/>
    <x v="3"/>
    <s v="John"/>
    <s v="M"/>
    <m/>
    <m/>
    <s v="Pendente"/>
    <d v="2026-02-19T00:00:00"/>
    <x v="1"/>
  </r>
  <r>
    <d v="2026-02-10T00:00:00"/>
    <d v="2026-02-13T00:00:00"/>
    <d v="2026-02-16T00:00:00"/>
    <s v="JOSE EUCLIDES CAMILO"/>
    <x v="5"/>
    <s v="Isabella"/>
    <s v="F"/>
    <m/>
    <m/>
    <s v="Pendente"/>
    <d v="2026-02-19T00:00:00"/>
    <x v="1"/>
  </r>
  <r>
    <d v="2026-02-10T00:00:00"/>
    <d v="2026-02-13T00:00:00"/>
    <d v="2026-02-16T00:00:00"/>
    <s v="MARCOS CAMARGO DE SOUZA"/>
    <x v="2"/>
    <s v="Isabella"/>
    <s v="F"/>
    <m/>
    <m/>
    <s v="Pendente"/>
    <d v="2026-02-19T00:00:00"/>
    <x v="1"/>
  </r>
  <r>
    <d v="2026-02-10T00:00:00"/>
    <d v="2026-02-13T00:00:00"/>
    <d v="2026-02-16T00:00:00"/>
    <s v="ARTUR RAMOS PEREIRA"/>
    <x v="1"/>
    <s v="Isabella"/>
    <s v="F"/>
    <m/>
    <m/>
    <s v="Pendente"/>
    <d v="2026-02-19T00:00:00"/>
    <x v="1"/>
  </r>
  <r>
    <d v="2026-02-10T00:00:00"/>
    <d v="2026-02-13T00:00:00"/>
    <d v="2026-02-16T00:00:00"/>
    <s v="GABRIEL RODRIGUES DA SILVA"/>
    <x v="2"/>
    <s v="Isabella"/>
    <s v="F"/>
    <m/>
    <m/>
    <s v="Pendente"/>
    <d v="2026-02-19T00:00:00"/>
    <x v="1"/>
  </r>
  <r>
    <d v="2026-02-10T00:00:00"/>
    <d v="2026-02-13T00:00:00"/>
    <d v="2026-02-16T00:00:00"/>
    <s v="IGOR HENRIQUE DA ROCHA ARGOLO"/>
    <x v="0"/>
    <s v="John"/>
    <s v="M"/>
    <m/>
    <m/>
    <s v="Pendente"/>
    <d v="2026-02-19T00:00:00"/>
    <x v="1"/>
  </r>
  <r>
    <d v="2026-02-10T00:00:00"/>
    <d v="2026-02-13T00:00:00"/>
    <d v="2026-02-16T00:00:00"/>
    <s v="JOSE AILTON DA SILVA"/>
    <x v="2"/>
    <s v="John"/>
    <s v="M"/>
    <m/>
    <m/>
    <s v="Pendente"/>
    <d v="2026-02-19T00:00:00"/>
    <x v="1"/>
  </r>
  <r>
    <d v="2026-02-10T00:00:00"/>
    <d v="2026-02-13T00:00:00"/>
    <d v="2026-02-16T00:00:00"/>
    <s v="JARDEL ITALO ALMEIDA RODRIGUES"/>
    <x v="0"/>
    <s v="John"/>
    <s v="M"/>
    <m/>
    <m/>
    <s v="Pendente"/>
    <d v="2026-02-19T00:00:00"/>
    <x v="1"/>
  </r>
  <r>
    <d v="2026-02-10T00:00:00"/>
    <d v="2026-02-13T00:00:00"/>
    <d v="2026-02-16T00:00:00"/>
    <s v="VINICIUS AQUILINO LOPES"/>
    <x v="0"/>
    <s v="Jéssica"/>
    <s v="F"/>
    <m/>
    <m/>
    <s v="Pendente"/>
    <d v="2026-02-19T00:00:00"/>
    <x v="1"/>
  </r>
  <r>
    <d v="2026-02-11T00:00:00"/>
    <d v="2026-02-14T00:00:00"/>
    <d v="2026-02-17T00:00:00"/>
    <s v="ADELINO DOS SANTOS NASCIMENTO"/>
    <x v="1"/>
    <s v="Leticia"/>
    <s v="F"/>
    <m/>
    <m/>
    <s v="Pendente"/>
    <d v="2026-02-20T00:00:00"/>
    <x v="1"/>
  </r>
  <r>
    <d v="2026-02-11T00:00:00"/>
    <d v="2026-02-14T00:00:00"/>
    <d v="2026-02-17T00:00:00"/>
    <s v="BRUCE WALLACE STOCCO"/>
    <x v="0"/>
    <s v="Isabella"/>
    <s v="F"/>
    <m/>
    <m/>
    <s v="Pendente"/>
    <d v="2026-02-20T00:00:00"/>
    <x v="1"/>
  </r>
  <r>
    <d v="2026-02-11T00:00:00"/>
    <d v="2026-02-14T00:00:00"/>
    <d v="2026-02-17T00:00:00"/>
    <s v="RICARDO AUGUSTO DE BARROS"/>
    <x v="1"/>
    <s v="Leticia"/>
    <s v="F"/>
    <m/>
    <m/>
    <s v="Pendente"/>
    <d v="2026-02-20T00:00:00"/>
    <x v="1"/>
  </r>
  <r>
    <d v="2026-02-11T00:00:00"/>
    <d v="2026-02-14T00:00:00"/>
    <d v="2026-02-17T00:00:00"/>
    <s v="WELLINGTON OLIVEIRA DA SILVA"/>
    <x v="9"/>
    <s v="Jacqueline"/>
    <s v="F"/>
    <m/>
    <m/>
    <s v="Pendente"/>
    <d v="2026-02-20T00:00:00"/>
    <x v="1"/>
  </r>
  <r>
    <d v="2026-02-11T00:00:00"/>
    <d v="2026-02-14T00:00:00"/>
    <d v="2026-02-17T00:00:00"/>
    <s v="RYAN LOPES DE JESUS"/>
    <x v="1"/>
    <s v="Jacqueline"/>
    <s v="F"/>
    <m/>
    <m/>
    <s v="Pendente"/>
    <d v="2026-02-20T00:00:00"/>
    <x v="1"/>
  </r>
  <r>
    <d v="2026-02-11T00:00:00"/>
    <d v="2026-02-14T00:00:00"/>
    <d v="2026-02-17T00:00:00"/>
    <s v="ADAILTON PEREIRA LIMA"/>
    <x v="2"/>
    <s v="John"/>
    <s v="M"/>
    <m/>
    <m/>
    <s v="Pendente"/>
    <d v="2026-02-20T00:00:00"/>
    <x v="1"/>
  </r>
  <r>
    <d v="2026-02-12T00:00:00"/>
    <d v="2026-02-15T00:00:00"/>
    <d v="2026-02-18T00:00:00"/>
    <s v="JOLVANO GOMES PEREIRA"/>
    <x v="2"/>
    <s v="Enzo"/>
    <m/>
    <m/>
    <m/>
    <s v="Pendente"/>
    <d v="2026-02-21T00:00:00"/>
    <x v="1"/>
  </r>
  <r>
    <d v="2026-02-12T00:00:00"/>
    <d v="2026-02-15T00:00:00"/>
    <d v="2026-02-18T00:00:00"/>
    <s v="GLAUBER EVANGELISTA DE FREITAS"/>
    <x v="0"/>
    <s v="Isabella"/>
    <s v="F"/>
    <m/>
    <m/>
    <s v="Pendente"/>
    <d v="2026-02-21T00:00:00"/>
    <x v="1"/>
  </r>
  <r>
    <d v="2026-02-12T00:00:00"/>
    <d v="2026-02-15T00:00:00"/>
    <d v="2026-02-18T00:00:00"/>
    <s v="DANILO SANCHES"/>
    <x v="5"/>
    <s v="Myrelle"/>
    <s v="F"/>
    <m/>
    <m/>
    <s v="Pendente"/>
    <d v="2026-02-21T00:00:00"/>
    <x v="1"/>
  </r>
  <r>
    <d v="2026-02-12T00:00:00"/>
    <d v="2026-02-15T00:00:00"/>
    <d v="2026-02-18T00:00:00"/>
    <s v="DEBORA MARCELLE BATISTA FERREIRA DA SILVA"/>
    <x v="1"/>
    <s v="Jacqueline"/>
    <s v="F"/>
    <m/>
    <m/>
    <s v="Pendente"/>
    <d v="2026-02-21T00:00:00"/>
    <x v="1"/>
  </r>
  <r>
    <d v="2026-02-12T00:00:00"/>
    <d v="2026-02-15T00:00:00"/>
    <d v="2026-02-18T00:00:00"/>
    <s v="APARECIDA DE FATIMA BALDUINO"/>
    <x v="2"/>
    <s v="Jacqueline"/>
    <s v="F"/>
    <m/>
    <m/>
    <s v="Pendente"/>
    <d v="2026-02-21T00:00:00"/>
    <x v="1"/>
  </r>
  <r>
    <d v="2026-02-12T00:00:00"/>
    <d v="2026-02-15T00:00:00"/>
    <d v="2026-02-18T00:00:00"/>
    <s v="NIVALDA MARIA ALVES DOS SANTOS"/>
    <x v="0"/>
    <s v="Leticia"/>
    <s v="F"/>
    <m/>
    <m/>
    <s v="Pendente"/>
    <d v="2026-02-21T00:00:00"/>
    <x v="1"/>
  </r>
  <r>
    <d v="2026-02-12T00:00:00"/>
    <d v="2026-02-15T00:00:00"/>
    <d v="2026-02-18T00:00:00"/>
    <s v="RICARDO AUGUSTO DE BARROS"/>
    <x v="0"/>
    <s v="Leticia"/>
    <s v="F"/>
    <m/>
    <m/>
    <s v="Pendente"/>
    <d v="2026-02-21T00:00:00"/>
    <x v="1"/>
  </r>
  <r>
    <d v="2026-02-12T00:00:00"/>
    <d v="2026-02-15T00:00:00"/>
    <d v="2026-02-18T00:00:00"/>
    <s v="KATIANE FELIPE DE MATTOS"/>
    <x v="0"/>
    <s v="John"/>
    <s v="M"/>
    <m/>
    <m/>
    <s v="Pendente"/>
    <d v="2026-02-21T00:00:00"/>
    <x v="1"/>
  </r>
  <r>
    <d v="2026-02-12T00:00:00"/>
    <d v="2026-02-15T00:00:00"/>
    <d v="2026-02-18T00:00:00"/>
    <s v="JOAO BATISTA DA CRUZ FILHO"/>
    <x v="9"/>
    <s v="Jacqueline"/>
    <s v="F"/>
    <m/>
    <m/>
    <s v="Pendente"/>
    <d v="2026-02-21T00:00:00"/>
    <x v="1"/>
  </r>
  <r>
    <d v="2026-02-12T00:00:00"/>
    <d v="2026-02-15T00:00:00"/>
    <d v="2026-02-18T00:00:00"/>
    <s v="MARISA PORTO ORTIZ"/>
    <x v="4"/>
    <s v="Enzo"/>
    <m/>
    <m/>
    <m/>
    <s v="Pendente"/>
    <d v="2026-02-21T00:00:00"/>
    <x v="1"/>
  </r>
  <r>
    <d v="2026-02-12T00:00:00"/>
    <d v="2026-02-15T00:00:00"/>
    <d v="2026-02-18T00:00:00"/>
    <s v="ADAUTO BATISTA DE MORAES"/>
    <x v="0"/>
    <s v="Enzo"/>
    <m/>
    <m/>
    <m/>
    <s v="Pendente"/>
    <d v="2026-02-21T00:00:00"/>
    <x v="1"/>
  </r>
  <r>
    <d v="2026-02-12T00:00:00"/>
    <d v="2026-02-15T00:00:00"/>
    <d v="2026-02-18T00:00:00"/>
    <s v="LEONARDO GOECKS DE MEDEIROS"/>
    <x v="2"/>
    <s v="Enzo"/>
    <m/>
    <m/>
    <m/>
    <s v="Pendente"/>
    <d v="2026-02-21T00:00:00"/>
    <x v="1"/>
  </r>
  <r>
    <d v="2026-02-12T00:00:00"/>
    <d v="2026-02-15T00:00:00"/>
    <d v="2026-02-18T00:00:00"/>
    <s v="YURI KAUA DA SILVA RODRIGUES"/>
    <x v="1"/>
    <s v="Leticia"/>
    <s v="F"/>
    <m/>
    <m/>
    <s v="Pendente"/>
    <d v="2026-02-21T00:00:00"/>
    <x v="1"/>
  </r>
  <r>
    <d v="2026-02-13T00:00:00"/>
    <d v="2026-02-16T00:00:00"/>
    <d v="2026-02-19T00:00:00"/>
    <s v="JOHN LENNON LIMA DA SILVA"/>
    <x v="0"/>
    <s v="Enzo"/>
    <m/>
    <m/>
    <m/>
    <s v="Pendente"/>
    <d v="2026-02-22T00:00:00"/>
    <x v="1"/>
  </r>
  <r>
    <d v="2026-02-13T00:00:00"/>
    <d v="2026-02-16T00:00:00"/>
    <d v="2026-02-19T00:00:00"/>
    <s v="RODRIGO DUTRA DE OLIVEIRA"/>
    <x v="1"/>
    <s v="Enzo"/>
    <m/>
    <m/>
    <m/>
    <s v="Pendente"/>
    <d v="2026-02-22T00:00:00"/>
    <x v="1"/>
  </r>
  <r>
    <d v="2026-02-13T00:00:00"/>
    <d v="2026-02-16T00:00:00"/>
    <d v="2026-02-19T00:00:00"/>
    <s v="FERNANDO GOUVEIA ARAUJO"/>
    <x v="0"/>
    <s v="Myrelle"/>
    <s v="F"/>
    <m/>
    <m/>
    <s v="Pendente"/>
    <d v="2026-02-22T00:00:00"/>
    <x v="1"/>
  </r>
  <r>
    <d v="2026-02-13T00:00:00"/>
    <d v="2026-02-16T00:00:00"/>
    <d v="2026-02-19T00:00:00"/>
    <s v="MAGALI APARECIDA MACHADO"/>
    <x v="0"/>
    <s v="John"/>
    <s v="M"/>
    <m/>
    <m/>
    <s v="Pendente"/>
    <d v="2026-02-22T00:00:00"/>
    <x v="1"/>
  </r>
  <r>
    <d v="2026-02-13T00:00:00"/>
    <d v="2026-02-16T00:00:00"/>
    <d v="2026-02-19T00:00:00"/>
    <s v="LIVIA MARTINS DE PAULO"/>
    <x v="0"/>
    <s v="John"/>
    <s v="M"/>
    <m/>
    <m/>
    <s v="Pendente"/>
    <d v="2026-02-22T00:00:00"/>
    <x v="1"/>
  </r>
  <r>
    <d v="2026-02-13T00:00:00"/>
    <d v="2026-02-16T00:00:00"/>
    <d v="2026-02-19T00:00:00"/>
    <s v="SANDRA RACKI"/>
    <x v="0"/>
    <s v="John"/>
    <s v="M"/>
    <m/>
    <m/>
    <s v="Pendente"/>
    <d v="2026-02-22T00:00:00"/>
    <x v="1"/>
  </r>
  <r>
    <d v="2026-02-13T00:00:00"/>
    <d v="2026-02-16T00:00:00"/>
    <d v="2026-02-19T00:00:00"/>
    <s v="JOSE MARIA DA SILVA"/>
    <x v="0"/>
    <s v="John"/>
    <s v="M"/>
    <m/>
    <m/>
    <s v="Pendente"/>
    <d v="2026-02-22T00:00:00"/>
    <x v="1"/>
  </r>
  <r>
    <d v="2026-02-13T00:00:00"/>
    <d v="2026-02-16T00:00:00"/>
    <d v="2026-02-19T00:00:00"/>
    <s v="VANER MENDES DA SILVA"/>
    <x v="2"/>
    <s v="John"/>
    <s v="M"/>
    <m/>
    <m/>
    <s v="Pendente"/>
    <d v="2026-02-22T00:00:00"/>
    <x v="1"/>
  </r>
  <r>
    <d v="2026-02-18T00:00:00"/>
    <d v="2026-02-21T00:00:00"/>
    <d v="2026-02-24T00:00:00"/>
    <s v="JOSE FERNANDO FERREIRA"/>
    <x v="3"/>
    <s v="Jacqueline"/>
    <s v="F"/>
    <m/>
    <m/>
    <s v="Pendente"/>
    <d v="2026-02-27T00:00:00"/>
    <x v="1"/>
  </r>
  <r>
    <d v="2026-02-18T00:00:00"/>
    <d v="2026-02-21T00:00:00"/>
    <d v="2026-02-24T00:00:00"/>
    <s v="FRANCINE DE CARVALHO LUCIANO MOYA"/>
    <x v="5"/>
    <s v="Jacqueline"/>
    <s v="F"/>
    <m/>
    <m/>
    <s v="Pendente"/>
    <d v="2026-02-27T00:00:00"/>
    <x v="1"/>
  </r>
  <r>
    <d v="2026-02-18T00:00:00"/>
    <d v="2026-02-21T00:00:00"/>
    <d v="2026-02-24T00:00:00"/>
    <s v="VAGNER RODRIGUES DOS SANTOS"/>
    <x v="4"/>
    <s v="Jacqueline"/>
    <s v="F"/>
    <m/>
    <m/>
    <s v="Pendente"/>
    <d v="2026-02-27T00:00:00"/>
    <x v="1"/>
  </r>
  <r>
    <d v="2026-02-18T00:00:00"/>
    <d v="2026-02-21T00:00:00"/>
    <d v="2026-02-24T00:00:00"/>
    <s v="DENISE ALESSANDRA EZIQUIEL"/>
    <x v="0"/>
    <s v="John"/>
    <s v="M"/>
    <m/>
    <m/>
    <s v="Pendente"/>
    <d v="2026-02-27T00:00:00"/>
    <x v="1"/>
  </r>
  <r>
    <d v="2026-02-18T00:00:00"/>
    <d v="2026-02-21T00:00:00"/>
    <d v="2026-02-24T00:00:00"/>
    <s v="IVANILDA TEREZINHA LIMA CABECA"/>
    <x v="2"/>
    <s v="John"/>
    <s v="M"/>
    <m/>
    <m/>
    <s v="Pendente"/>
    <d v="2026-02-27T00:00:00"/>
    <x v="1"/>
  </r>
  <r>
    <d v="2026-02-18T00:00:00"/>
    <d v="2026-02-21T00:00:00"/>
    <d v="2026-02-24T00:00:00"/>
    <s v="APARECIDA DE OLIVEIRA DOS SANTOS SILVA"/>
    <x v="0"/>
    <s v="John"/>
    <s v="M"/>
    <m/>
    <m/>
    <s v="Pendente"/>
    <d v="2026-02-27T00:00:00"/>
    <x v="1"/>
  </r>
  <r>
    <d v="2026-02-18T00:00:00"/>
    <d v="2026-02-21T00:00:00"/>
    <d v="2026-02-24T00:00:00"/>
    <s v="DENYS FRANCISCO DE FREITAS"/>
    <x v="1"/>
    <s v="John"/>
    <s v="M"/>
    <m/>
    <m/>
    <s v="Pendente"/>
    <d v="2026-02-27T00:00:00"/>
    <x v="1"/>
  </r>
  <r>
    <d v="2026-02-19T00:00:00"/>
    <d v="2026-02-22T00:00:00"/>
    <d v="2026-02-25T00:00:00"/>
    <s v="ELIAZAR ROSENDO DE SALES"/>
    <x v="5"/>
    <s v="Leticia"/>
    <s v="F"/>
    <m/>
    <m/>
    <s v="Pendente"/>
    <d v="2026-02-28T00:00:00"/>
    <x v="1"/>
  </r>
  <r>
    <d v="2026-02-19T00:00:00"/>
    <d v="2026-02-22T00:00:00"/>
    <d v="2026-02-25T00:00:00"/>
    <s v="LUCAS GABRIEL DOS SANTOS"/>
    <x v="2"/>
    <s v="John"/>
    <s v="M"/>
    <m/>
    <m/>
    <s v="Pendente"/>
    <d v="2026-02-28T00:00:00"/>
    <x v="1"/>
  </r>
  <r>
    <d v="2026-02-19T00:00:00"/>
    <d v="2026-02-22T00:00:00"/>
    <d v="2026-02-25T00:00:00"/>
    <s v="AGUINALDO GONCALVES"/>
    <x v="3"/>
    <s v="John"/>
    <s v="M"/>
    <m/>
    <m/>
    <s v="Pendente"/>
    <d v="2026-02-28T00:00:00"/>
    <x v="1"/>
  </r>
  <r>
    <d v="2026-02-19T00:00:00"/>
    <d v="2026-02-22T00:00:00"/>
    <d v="2026-02-25T00:00:00"/>
    <s v="CILENE GONCALVES DE LIMA"/>
    <x v="1"/>
    <s v="Jacqueline"/>
    <s v="F"/>
    <m/>
    <m/>
    <s v="Pendente"/>
    <d v="2026-02-28T00:00:00"/>
    <x v="1"/>
  </r>
  <r>
    <d v="2026-02-19T00:00:00"/>
    <d v="2026-02-22T00:00:00"/>
    <d v="2026-02-25T00:00:00"/>
    <s v="LEANDRO FERNANDES"/>
    <x v="0"/>
    <s v="Jacqueline"/>
    <s v="F"/>
    <m/>
    <m/>
    <s v="Pendente"/>
    <d v="2026-02-28T00:00:00"/>
    <x v="1"/>
  </r>
  <r>
    <d v="2026-02-19T00:00:00"/>
    <d v="2026-02-22T00:00:00"/>
    <d v="2026-02-25T00:00:00"/>
    <s v="ARY DEAMO ALVES JUNIOR"/>
    <x v="0"/>
    <s v="Jacqueline"/>
    <s v="F"/>
    <m/>
    <m/>
    <s v="Pendente"/>
    <d v="2026-02-28T00:00:00"/>
    <x v="1"/>
  </r>
  <r>
    <d v="2026-02-19T00:00:00"/>
    <d v="2026-02-22T00:00:00"/>
    <d v="2026-02-25T00:00:00"/>
    <s v="NATHAN LEVY TARTAROTTI FIALHO"/>
    <x v="0"/>
    <s v="Myrelle"/>
    <s v="F"/>
    <m/>
    <m/>
    <s v="Pendente"/>
    <d v="2026-02-28T00:00:00"/>
    <x v="1"/>
  </r>
  <r>
    <d v="2026-02-19T00:00:00"/>
    <d v="2026-02-22T00:00:00"/>
    <d v="2026-02-25T00:00:00"/>
    <s v="GILDACIO DA SILVA PESSOA"/>
    <x v="5"/>
    <s v="Myrelle"/>
    <s v="F"/>
    <m/>
    <m/>
    <s v="Pendente"/>
    <d v="2026-02-28T00:00:00"/>
    <x v="1"/>
  </r>
  <r>
    <d v="2026-02-19T00:00:00"/>
    <d v="2026-02-22T00:00:00"/>
    <d v="2026-02-25T00:00:00"/>
    <s v="THAINARA MARTINS DA SILVA"/>
    <x v="9"/>
    <s v="John"/>
    <s v="M"/>
    <m/>
    <m/>
    <s v="Pendente"/>
    <d v="2026-02-28T00:00:00"/>
    <x v="1"/>
  </r>
  <r>
    <d v="2026-02-19T00:00:00"/>
    <d v="2026-02-22T00:00:00"/>
    <d v="2026-02-25T00:00:00"/>
    <s v="JOSE VICENTE BORBOREMA"/>
    <x v="3"/>
    <s v="John"/>
    <s v="M"/>
    <m/>
    <m/>
    <s v="Pendente"/>
    <d v="2026-02-28T00:00:00"/>
    <x v="1"/>
  </r>
  <r>
    <d v="2026-02-19T00:00:00"/>
    <d v="2026-02-22T00:00:00"/>
    <d v="2026-02-25T00:00:00"/>
    <s v="GABRIEL SILVA SANTOS"/>
    <x v="1"/>
    <s v="John"/>
    <s v="M"/>
    <m/>
    <m/>
    <s v="Pendente"/>
    <d v="2026-02-28T00:00:00"/>
    <x v="1"/>
  </r>
  <r>
    <d v="2026-02-19T00:00:00"/>
    <d v="2026-02-22T00:00:00"/>
    <d v="2026-02-25T00:00:00"/>
    <s v="VINICIUS AQUILINO LOPES"/>
    <x v="1"/>
    <s v="Jéssica"/>
    <s v="F"/>
    <m/>
    <m/>
    <s v="Pendente"/>
    <d v="2026-02-28T00:00:00"/>
    <x v="1"/>
  </r>
  <r>
    <d v="2026-02-20T00:00:00"/>
    <d v="2026-02-23T00:00:00"/>
    <d v="2026-02-26T00:00:00"/>
    <s v="LUIZ ROGERIO DIAS CUNHA"/>
    <x v="0"/>
    <s v="Enzo"/>
    <m/>
    <m/>
    <m/>
    <s v="Pendente"/>
    <d v="2026-03-01T00:00:00"/>
    <x v="1"/>
  </r>
  <r>
    <d v="2026-02-20T00:00:00"/>
    <d v="2026-02-23T00:00:00"/>
    <d v="2026-02-26T00:00:00"/>
    <s v="JULYANE LEONARDI PEREIRA ALENCAR"/>
    <x v="3"/>
    <s v="John"/>
    <s v="M"/>
    <m/>
    <m/>
    <s v="Pendente"/>
    <d v="2026-03-01T00:00:00"/>
    <x v="1"/>
  </r>
  <r>
    <d v="2026-02-20T00:00:00"/>
    <d v="2026-02-23T00:00:00"/>
    <d v="2026-02-26T00:00:00"/>
    <s v="RAQUEL LIMEIRA BARBOSA"/>
    <x v="0"/>
    <s v="John"/>
    <s v="M"/>
    <m/>
    <m/>
    <s v="Pendente"/>
    <d v="2026-03-01T00:00:00"/>
    <x v="1"/>
  </r>
  <r>
    <d v="2026-02-20T00:00:00"/>
    <d v="2026-02-23T00:00:00"/>
    <d v="2026-02-26T00:00:00"/>
    <s v="GELSIMAR DOS SANTOS"/>
    <x v="10"/>
    <s v="Enzo"/>
    <m/>
    <m/>
    <m/>
    <s v="Pendente"/>
    <d v="2026-03-01T00:00:00"/>
    <x v="1"/>
  </r>
  <r>
    <d v="2026-02-20T00:00:00"/>
    <d v="2026-02-23T00:00:00"/>
    <d v="2026-02-26T00:00:00"/>
    <s v="ROBERIO MANOEL DA SILVA"/>
    <x v="3"/>
    <s v="John"/>
    <s v="M"/>
    <m/>
    <m/>
    <s v="Pendente"/>
    <d v="2026-03-01T00:00:00"/>
    <x v="1"/>
  </r>
  <r>
    <d v="2026-02-20T00:00:00"/>
    <d v="2026-02-23T00:00:00"/>
    <d v="2026-02-26T00:00:00"/>
    <s v="EDILON SEVERINO "/>
    <x v="5"/>
    <s v="John"/>
    <s v="M"/>
    <m/>
    <m/>
    <s v="Pendente"/>
    <d v="2026-03-01T00:00:00"/>
    <x v="1"/>
  </r>
  <r>
    <d v="2026-02-20T00:00:00"/>
    <d v="2026-02-23T00:00:00"/>
    <d v="2026-02-26T00:00:00"/>
    <s v="MILTON BATISTA SANTOS"/>
    <x v="1"/>
    <s v="Myrelle"/>
    <s v="F"/>
    <m/>
    <m/>
    <s v="Pendente"/>
    <d v="2026-03-01T00:00:00"/>
    <x v="1"/>
  </r>
  <r>
    <d v="2026-02-20T00:00:00"/>
    <d v="2026-02-23T00:00:00"/>
    <d v="2026-02-26T00:00:00"/>
    <s v="RONIERISON CAVALCANTI LIMA"/>
    <x v="0"/>
    <s v="Leticia"/>
    <s v="F"/>
    <m/>
    <m/>
    <s v="Pendente"/>
    <d v="2026-03-01T00:00:00"/>
    <x v="1"/>
  </r>
  <r>
    <d v="2026-02-20T00:00:00"/>
    <d v="2026-02-23T00:00:00"/>
    <d v="2026-02-26T00:00:00"/>
    <s v="OSVALDO FRANCISCO CORREA"/>
    <x v="0"/>
    <s v="Leticia"/>
    <s v="F"/>
    <m/>
    <m/>
    <s v="Pendente"/>
    <d v="2026-03-01T00:00:00"/>
    <x v="1"/>
  </r>
  <r>
    <d v="2026-02-20T00:00:00"/>
    <d v="2026-02-23T00:00:00"/>
    <d v="2026-02-26T00:00:00"/>
    <s v="DENISE REGINA DOS REIS"/>
    <x v="0"/>
    <s v="John"/>
    <s v="M"/>
    <m/>
    <m/>
    <s v="Pendente"/>
    <d v="2026-03-01T00:00:00"/>
    <x v="1"/>
  </r>
  <r>
    <d v="2026-02-23T00:00:00"/>
    <d v="2026-02-26T00:00:00"/>
    <d v="2026-03-01T00:00:00"/>
    <s v="RONALDO TEIXEIRA DE MACEDO"/>
    <x v="0"/>
    <s v="John"/>
    <s v="M"/>
    <m/>
    <m/>
    <s v="Pendente"/>
    <d v="2026-03-04T00:00:00"/>
    <x v="1"/>
  </r>
  <r>
    <d v="2026-02-23T00:00:00"/>
    <d v="2026-02-26T00:00:00"/>
    <d v="2026-03-01T00:00:00"/>
    <s v="FRANCISCO DE PAULO PEIXOTO ARAUJO"/>
    <x v="0"/>
    <s v="John"/>
    <s v="M"/>
    <m/>
    <m/>
    <s v="Pendente"/>
    <d v="2026-03-04T00:00:00"/>
    <x v="1"/>
  </r>
  <r>
    <d v="2026-02-23T00:00:00"/>
    <d v="2026-02-26T00:00:00"/>
    <d v="2026-03-01T00:00:00"/>
    <s v="CLAUDEMIR AUGUSTO DA SILVA"/>
    <x v="0"/>
    <s v="Jacqueline"/>
    <s v="F"/>
    <m/>
    <m/>
    <s v="Pendente"/>
    <d v="2026-03-04T00:00:00"/>
    <x v="1"/>
  </r>
  <r>
    <d v="2026-02-23T00:00:00"/>
    <d v="2026-02-26T00:00:00"/>
    <d v="2026-03-01T00:00:00"/>
    <s v="ALUIZIO BATISTA DA SILVA"/>
    <x v="0"/>
    <s v="Jacqueline"/>
    <s v="F"/>
    <m/>
    <m/>
    <s v="Pendente"/>
    <d v="2026-03-04T00:00:00"/>
    <x v="1"/>
  </r>
  <r>
    <d v="2026-02-23T00:00:00"/>
    <d v="2026-02-26T00:00:00"/>
    <d v="2026-03-01T00:00:00"/>
    <s v="OSIRIS AUGUSTO PASSARELLI DE MORAES"/>
    <x v="9"/>
    <s v="Enzo"/>
    <m/>
    <m/>
    <m/>
    <s v="Pendente"/>
    <d v="2026-03-04T00:00:00"/>
    <x v="1"/>
  </r>
  <r>
    <d v="2026-02-23T00:00:00"/>
    <d v="2026-02-26T00:00:00"/>
    <d v="2026-03-01T00:00:00"/>
    <s v="PAMELA SILVA FERREIRA DE OLIVEIRA"/>
    <x v="0"/>
    <s v="Enzo"/>
    <m/>
    <m/>
    <m/>
    <s v="Pendente"/>
    <d v="2026-03-04T00:00:00"/>
    <x v="1"/>
  </r>
  <r>
    <d v="2026-02-24T00:00:00"/>
    <d v="2026-02-27T00:00:00"/>
    <d v="2026-03-02T00:00:00"/>
    <s v="FRANCICLEUDO ALVES CARNAUBA"/>
    <x v="0"/>
    <s v="John"/>
    <s v="M"/>
    <m/>
    <m/>
    <s v="Pendente"/>
    <d v="2026-03-05T00:00:00"/>
    <x v="1"/>
  </r>
  <r>
    <d v="2026-02-24T00:00:00"/>
    <d v="2026-02-27T00:00:00"/>
    <d v="2026-03-02T00:00:00"/>
    <s v="MAIKON MARTINS PEREIRA"/>
    <x v="0"/>
    <s v="Enzo"/>
    <m/>
    <m/>
    <m/>
    <s v="Pendente"/>
    <d v="2026-03-05T00:00:00"/>
    <x v="1"/>
  </r>
  <r>
    <d v="2026-02-24T00:00:00"/>
    <d v="2026-02-27T00:00:00"/>
    <d v="2026-03-02T00:00:00"/>
    <s v="MARIA ELIANE MIRANDA"/>
    <x v="3"/>
    <s v="John"/>
    <s v="M"/>
    <m/>
    <m/>
    <s v="Pendente"/>
    <d v="2026-03-05T00:00:00"/>
    <x v="1"/>
  </r>
  <r>
    <d v="2026-02-24T00:00:00"/>
    <d v="2026-02-27T00:00:00"/>
    <d v="2026-03-02T00:00:00"/>
    <s v="THIAGO MARTINS DE SOUSA"/>
    <x v="1"/>
    <s v="John"/>
    <s v="M"/>
    <m/>
    <m/>
    <s v="Pendente"/>
    <d v="2026-03-05T00:00:00"/>
    <x v="1"/>
  </r>
  <r>
    <d v="2026-02-24T00:00:00"/>
    <d v="2026-02-27T00:00:00"/>
    <d v="2026-03-02T00:00:00"/>
    <s v="DAYANE ANDREA DA SILVA ALMEIDA"/>
    <x v="1"/>
    <s v="Leticia"/>
    <s v="F"/>
    <m/>
    <m/>
    <s v="Pendente"/>
    <d v="2026-03-05T00:00:00"/>
    <x v="1"/>
  </r>
  <r>
    <d v="2026-02-24T00:00:00"/>
    <d v="2026-02-27T00:00:00"/>
    <d v="2026-03-02T00:00:00"/>
    <s v="SUZANI FERREIRA SILVA SOUZA"/>
    <x v="1"/>
    <s v="Leticia"/>
    <s v="F"/>
    <m/>
    <m/>
    <s v="Pendente"/>
    <d v="2026-03-05T00:00:00"/>
    <x v="1"/>
  </r>
  <r>
    <d v="2026-02-24T00:00:00"/>
    <d v="2026-02-27T00:00:00"/>
    <d v="2026-03-02T00:00:00"/>
    <s v="LUCAS BRANDAO MORAIS"/>
    <x v="0"/>
    <s v="John"/>
    <s v="M"/>
    <m/>
    <m/>
    <s v="Pendente"/>
    <d v="2026-03-05T00:00:00"/>
    <x v="1"/>
  </r>
  <r>
    <d v="2026-02-24T00:00:00"/>
    <d v="2026-02-27T00:00:00"/>
    <d v="2026-03-02T00:00:00"/>
    <s v="WILLIANS BEZERRA DE SOUSA"/>
    <x v="2"/>
    <s v="Isabella"/>
    <s v="F"/>
    <m/>
    <m/>
    <s v="Pendente"/>
    <d v="2026-03-05T00:00:00"/>
    <x v="1"/>
  </r>
  <r>
    <d v="2026-02-27T00:00:00"/>
    <d v="2026-03-02T00:00:00"/>
    <d v="2026-03-05T00:00:00"/>
    <s v="JOSE ADAO MARTINS CARDOSO"/>
    <x v="2"/>
    <s v="Isabella"/>
    <s v="F"/>
    <m/>
    <m/>
    <s v="Pendente"/>
    <d v="2026-03-08T00:00:00"/>
    <x v="1"/>
  </r>
  <r>
    <d v="2026-02-24T00:00:00"/>
    <d v="2026-02-27T00:00:00"/>
    <d v="2026-03-02T00:00:00"/>
    <s v="IRONILDO BATISTA DE CARVALHO"/>
    <x v="2"/>
    <s v="Isabella"/>
    <s v="F"/>
    <m/>
    <m/>
    <s v="Pendente"/>
    <d v="2026-03-05T00:00:00"/>
    <x v="1"/>
  </r>
  <r>
    <d v="2026-02-24T00:00:00"/>
    <d v="2026-02-27T00:00:00"/>
    <d v="2026-03-02T00:00:00"/>
    <s v="ALCIONE SILVA DOS SANTOS"/>
    <x v="2"/>
    <s v="Isabella"/>
    <s v="F"/>
    <m/>
    <m/>
    <s v="Pendente"/>
    <d v="2026-03-05T00:00:00"/>
    <x v="1"/>
  </r>
  <r>
    <d v="2026-02-24T00:00:00"/>
    <d v="2026-02-27T00:00:00"/>
    <d v="2026-03-02T00:00:00"/>
    <s v="THAIS CRISTINA DA SILVA PEREIRA"/>
    <x v="1"/>
    <s v="Isabella"/>
    <s v="F"/>
    <m/>
    <m/>
    <s v="Pendente"/>
    <d v="2026-03-05T00:00:00"/>
    <x v="1"/>
  </r>
  <r>
    <d v="2026-02-24T00:00:00"/>
    <d v="2026-02-27T00:00:00"/>
    <d v="2026-03-02T00:00:00"/>
    <s v="EDSON VIEIRA DE ALMEIDA"/>
    <x v="3"/>
    <s v="Isabella"/>
    <s v="F"/>
    <m/>
    <m/>
    <s v="Pendente"/>
    <d v="2026-03-05T00:00:00"/>
    <x v="1"/>
  </r>
  <r>
    <d v="2026-02-25T00:00:00"/>
    <d v="2026-02-28T00:00:00"/>
    <d v="2026-03-03T00:00:00"/>
    <s v="JESSICA APARECIDA DE LIMA COSTA"/>
    <x v="0"/>
    <s v="Leticia"/>
    <s v="F"/>
    <m/>
    <m/>
    <s v="Pendente"/>
    <d v="2026-03-06T00:00:00"/>
    <x v="1"/>
  </r>
  <r>
    <d v="2026-02-25T00:00:00"/>
    <d v="2026-02-28T00:00:00"/>
    <d v="2026-03-03T00:00:00"/>
    <s v="MILER FERREIRA RODRIGUES"/>
    <x v="2"/>
    <s v="Jacqueline"/>
    <s v="F"/>
    <m/>
    <m/>
    <s v="Pendente"/>
    <d v="2026-03-06T00:00:00"/>
    <x v="1"/>
  </r>
  <r>
    <d v="2026-02-25T00:00:00"/>
    <d v="2026-02-28T00:00:00"/>
    <d v="2026-03-03T00:00:00"/>
    <s v="RODRIGO ALMEIDA SILVA"/>
    <x v="0"/>
    <s v="Jacqueline"/>
    <s v="F"/>
    <m/>
    <m/>
    <s v="Pendente"/>
    <d v="2026-03-06T00:00:00"/>
    <x v="1"/>
  </r>
  <r>
    <d v="2026-02-25T00:00:00"/>
    <d v="2026-02-28T00:00:00"/>
    <d v="2026-03-03T00:00:00"/>
    <s v="THIAGO APARECIDO AFONSO DE CARVALHO"/>
    <x v="1"/>
    <s v="John"/>
    <s v="M"/>
    <m/>
    <m/>
    <s v="Pendente"/>
    <d v="2026-03-06T00:00:00"/>
    <x v="1"/>
  </r>
  <r>
    <d v="2026-02-25T00:00:00"/>
    <d v="2026-02-28T00:00:00"/>
    <d v="2026-03-03T00:00:00"/>
    <s v="TATIANA ARINI ZARAGOZA"/>
    <x v="3"/>
    <s v="Pamela"/>
    <m/>
    <m/>
    <m/>
    <s v="Pendente"/>
    <d v="2026-03-06T00:00:00"/>
    <x v="1"/>
  </r>
  <r>
    <d v="2026-02-25T00:00:00"/>
    <d v="2026-02-28T00:00:00"/>
    <d v="2026-03-03T00:00:00"/>
    <s v="REGINA DA COSTA SALVI"/>
    <x v="0"/>
    <s v="John"/>
    <s v="M"/>
    <m/>
    <m/>
    <s v="Pendente"/>
    <d v="2026-03-06T00:00:00"/>
    <x v="1"/>
  </r>
  <r>
    <d v="2026-02-25T00:00:00"/>
    <d v="2026-02-28T00:00:00"/>
    <d v="2026-03-03T00:00:00"/>
    <s v="KAWAN SANTOS DE JESUS"/>
    <x v="1"/>
    <s v="Isabella"/>
    <s v="F"/>
    <m/>
    <m/>
    <s v="Pendente"/>
    <d v="2026-03-06T00:00:00"/>
    <x v="1"/>
  </r>
  <r>
    <d v="2026-02-25T00:00:00"/>
    <d v="2026-02-28T00:00:00"/>
    <d v="2026-03-03T00:00:00"/>
    <s v="FELIPE SILVERIO MONTANHOLI DE ARAUJO"/>
    <x v="1"/>
    <s v="Isabella"/>
    <s v="F"/>
    <m/>
    <m/>
    <s v="Pendente"/>
    <d v="2026-03-06T00:00:00"/>
    <x v="1"/>
  </r>
  <r>
    <d v="2026-02-25T00:00:00"/>
    <d v="2026-02-28T00:00:00"/>
    <d v="2026-03-03T00:00:00"/>
    <s v="MARIA INES PEREIRA DE SOUZA"/>
    <x v="0"/>
    <s v="Enzo"/>
    <m/>
    <m/>
    <m/>
    <s v="Pendente"/>
    <d v="2026-03-06T00:00:00"/>
    <x v="1"/>
  </r>
  <r>
    <d v="2026-02-25T00:00:00"/>
    <d v="2026-02-28T00:00:00"/>
    <d v="2026-03-03T00:00:00"/>
    <s v="DIEGO HENRIQUE DA SILVA ALVES"/>
    <x v="6"/>
    <s v="Jacqueline"/>
    <s v="F"/>
    <m/>
    <m/>
    <s v="Pendente"/>
    <d v="2026-03-06T00:00:00"/>
    <x v="1"/>
  </r>
  <r>
    <d v="2026-02-25T00:00:00"/>
    <d v="2026-02-28T00:00:00"/>
    <d v="2026-03-03T00:00:00"/>
    <s v="PAULO HENRIQUE VITORINO"/>
    <x v="4"/>
    <s v="Isabella"/>
    <s v="F"/>
    <m/>
    <m/>
    <s v="Pendente"/>
    <d v="2026-03-06T00:00:00"/>
    <x v="1"/>
  </r>
  <r>
    <d v="2026-02-26T00:00:00"/>
    <d v="2026-03-01T00:00:00"/>
    <d v="2026-03-04T00:00:00"/>
    <s v="DARIO DE SOUSA CAMPOS"/>
    <x v="2"/>
    <s v="Leticia"/>
    <s v="F"/>
    <m/>
    <m/>
    <s v="Pendente"/>
    <d v="2026-03-07T00:00:00"/>
    <x v="1"/>
  </r>
  <r>
    <d v="2026-02-26T00:00:00"/>
    <d v="2026-03-01T00:00:00"/>
    <d v="2026-03-04T00:00:00"/>
    <s v="PATRICIA SILVA DE BRITO"/>
    <x v="0"/>
    <s v="Enzo"/>
    <m/>
    <m/>
    <m/>
    <s v="Pendente"/>
    <d v="2026-03-07T00:00:00"/>
    <x v="1"/>
  </r>
  <r>
    <d v="2026-02-26T00:00:00"/>
    <d v="2026-03-01T00:00:00"/>
    <d v="2026-03-04T00:00:00"/>
    <s v="JOSE ROBERTO AZEVEDO DE JESUS"/>
    <x v="5"/>
    <s v="John"/>
    <s v="M"/>
    <m/>
    <m/>
    <s v="Pendente"/>
    <d v="2026-03-07T00:00:00"/>
    <x v="1"/>
  </r>
  <r>
    <d v="2026-02-26T00:00:00"/>
    <d v="2026-03-01T00:00:00"/>
    <d v="2026-03-04T00:00:00"/>
    <s v="MANOEL ANTONIO COUTINHO NETO"/>
    <x v="8"/>
    <s v="Leticia"/>
    <s v="F"/>
    <m/>
    <m/>
    <s v="Pendente"/>
    <d v="2026-03-07T00:00:00"/>
    <x v="1"/>
  </r>
  <r>
    <d v="2026-02-26T00:00:00"/>
    <d v="2026-03-01T00:00:00"/>
    <d v="2026-03-04T00:00:00"/>
    <s v="THALITA OLIVEIRA DOS SANTOS"/>
    <x v="2"/>
    <s v="John"/>
    <s v="M"/>
    <m/>
    <m/>
    <s v="Pendente"/>
    <d v="2026-03-07T00:00:00"/>
    <x v="1"/>
  </r>
  <r>
    <d v="2026-02-26T00:00:00"/>
    <d v="2026-03-01T00:00:00"/>
    <d v="2026-03-04T00:00:00"/>
    <s v="THALITA OLIVEIRA DOS SANTOS"/>
    <x v="1"/>
    <s v="John"/>
    <s v="M"/>
    <m/>
    <m/>
    <s v="Pendente"/>
    <d v="2026-03-07T00:00:00"/>
    <x v="1"/>
  </r>
  <r>
    <d v="2026-02-26T00:00:00"/>
    <d v="2026-03-01T00:00:00"/>
    <d v="2026-03-04T00:00:00"/>
    <s v="BEATRIZ RODRIGUES DA SILVA"/>
    <x v="2"/>
    <s v="Myrelle"/>
    <s v="F"/>
    <m/>
    <m/>
    <s v="Pendente"/>
    <d v="2026-03-07T00:00:00"/>
    <x v="1"/>
  </r>
  <r>
    <d v="2026-02-26T00:00:00"/>
    <d v="2026-03-01T00:00:00"/>
    <d v="2026-03-04T00:00:00"/>
    <s v="MAURICIO GOBET UZUN"/>
    <x v="4"/>
    <s v="John"/>
    <s v="M"/>
    <m/>
    <m/>
    <s v="Pendente"/>
    <d v="2026-03-07T00:00:00"/>
    <x v="1"/>
  </r>
  <r>
    <d v="2026-02-27T00:00:00"/>
    <d v="2026-03-02T00:00:00"/>
    <d v="2026-03-05T00:00:00"/>
    <s v="ANTONIO JOSE ALVES DE SOUZA"/>
    <x v="4"/>
    <s v="Isabella"/>
    <s v="F"/>
    <m/>
    <m/>
    <s v="Pendente"/>
    <d v="2026-03-08T00:00:00"/>
    <x v="1"/>
  </r>
  <r>
    <d v="2026-02-27T00:00:00"/>
    <d v="2026-03-02T00:00:00"/>
    <d v="2026-03-05T00:00:00"/>
    <s v="JURANDIR ALVES MARTINS"/>
    <x v="0"/>
    <s v="Isabella"/>
    <s v="F"/>
    <m/>
    <m/>
    <s v="Pendente"/>
    <d v="2026-03-08T00:00:00"/>
    <x v="1"/>
  </r>
  <r>
    <d v="2026-02-27T00:00:00"/>
    <d v="2026-03-02T00:00:00"/>
    <d v="2026-03-05T00:00:00"/>
    <s v="SERGIO RICARDO DE OLIVEIRA MUNIZ"/>
    <x v="0"/>
    <s v="John"/>
    <s v="M"/>
    <m/>
    <m/>
    <s v="Pendente"/>
    <d v="2026-03-08T00:00:00"/>
    <x v="1"/>
  </r>
  <r>
    <d v="2026-02-27T00:00:00"/>
    <d v="2026-03-02T00:00:00"/>
    <d v="2026-03-05T00:00:00"/>
    <s v="SIDNEY CASCIALLI ROSA"/>
    <x v="0"/>
    <s v="John"/>
    <s v="M"/>
    <m/>
    <m/>
    <s v="Pendente"/>
    <d v="2026-03-08T00:00:00"/>
    <x v="1"/>
  </r>
  <r>
    <d v="2026-02-27T00:00:00"/>
    <d v="2026-03-02T00:00:00"/>
    <d v="2026-03-05T00:00:00"/>
    <s v="KATIA REGINA DE OLIVEIRA MUNIZ"/>
    <x v="1"/>
    <s v="John"/>
    <s v="M"/>
    <m/>
    <m/>
    <s v="Pendente"/>
    <d v="2026-03-08T00:00:00"/>
    <x v="1"/>
  </r>
  <r>
    <d v="2026-02-27T00:00:00"/>
    <d v="2026-03-02T00:00:00"/>
    <d v="2026-03-05T00:00:00"/>
    <s v="FELIPE PATRICIO DA SILVA"/>
    <x v="0"/>
    <s v="John"/>
    <s v="M"/>
    <m/>
    <m/>
    <s v="Pendente"/>
    <d v="2026-03-08T00:00:00"/>
    <x v="1"/>
  </r>
  <r>
    <d v="2026-02-27T00:00:00"/>
    <d v="2026-03-02T00:00:00"/>
    <d v="2026-03-05T00:00:00"/>
    <s v="FELIPE PATRICIO DA SILVA "/>
    <x v="0"/>
    <s v="John"/>
    <s v="M"/>
    <m/>
    <s v="Endosso"/>
    <s v="Pendente"/>
    <d v="2026-03-08T00:00:00"/>
    <x v="1"/>
  </r>
  <r>
    <d v="2026-02-27T00:00:00"/>
    <d v="2026-03-02T00:00:00"/>
    <d v="2026-03-05T00:00:00"/>
    <s v="ELDER FRANCISCO MARTINS"/>
    <x v="2"/>
    <s v="Jacqueline"/>
    <s v="F"/>
    <m/>
    <m/>
    <s v="Pendente"/>
    <d v="2026-03-08T00:00:00"/>
    <x v="1"/>
  </r>
  <r>
    <d v="2026-02-27T00:00:00"/>
    <d v="2026-03-02T00:00:00"/>
    <d v="2026-03-05T00:00:00"/>
    <s v="EVANALDO SOARES DE MATOS"/>
    <x v="0"/>
    <s v="Leticia"/>
    <s v="F"/>
    <m/>
    <m/>
    <s v="Pendente"/>
    <d v="2026-03-08T00:00:00"/>
    <x v="1"/>
  </r>
  <r>
    <d v="2026-02-27T00:00:00"/>
    <d v="2026-03-02T00:00:00"/>
    <d v="2026-03-05T00:00:00"/>
    <s v="JEFFERSON CAMARGO JUNIOR ME"/>
    <x v="3"/>
    <s v="John"/>
    <s v="M"/>
    <m/>
    <m/>
    <s v="Pendente"/>
    <d v="2026-03-08T00:00:00"/>
    <x v="1"/>
  </r>
  <r>
    <d v="2026-02-27T00:00:00"/>
    <d v="2026-03-02T00:00:00"/>
    <d v="2026-03-05T00:00:00"/>
    <s v="SILVANO BARBOSA DOS SANTOS"/>
    <x v="0"/>
    <s v="Jacqueline"/>
    <s v="F"/>
    <m/>
    <m/>
    <s v="Pendente"/>
    <d v="2026-03-08T00:00:00"/>
    <x v="1"/>
  </r>
  <r>
    <d v="2026-03-02T00:00:00"/>
    <d v="2026-03-05T00:00:00"/>
    <d v="2026-03-08T00:00:00"/>
    <s v="ADAO VAN RANDOW SETTE"/>
    <x v="0"/>
    <s v="Enzo"/>
    <m/>
    <m/>
    <m/>
    <s v="Pendente"/>
    <d v="2026-03-11T00:00:00"/>
    <x v="2"/>
  </r>
  <r>
    <d v="2026-03-02T00:00:00"/>
    <d v="2026-03-05T00:00:00"/>
    <d v="2026-03-08T00:00:00"/>
    <s v="IRINEU NOGUEIRA JUNIOR"/>
    <x v="6"/>
    <s v="Enzo"/>
    <m/>
    <m/>
    <m/>
    <s v="Pendente"/>
    <d v="2026-03-11T00:00:00"/>
    <x v="2"/>
  </r>
  <r>
    <d v="2026-03-02T00:00:00"/>
    <d v="2026-03-05T00:00:00"/>
    <d v="2026-03-08T00:00:00"/>
    <s v="JULIANO APARECIDO DE ABREU"/>
    <x v="1"/>
    <s v="Enzo"/>
    <m/>
    <m/>
    <m/>
    <s v="Pendente"/>
    <d v="2026-03-11T00:00:00"/>
    <x v="2"/>
  </r>
  <r>
    <d v="2026-03-02T00:00:00"/>
    <d v="2026-03-05T00:00:00"/>
    <d v="2026-03-08T00:00:00"/>
    <s v="MANOEL JOAO DIAS"/>
    <x v="1"/>
    <s v="John"/>
    <s v="M"/>
    <m/>
    <m/>
    <s v="Pendente"/>
    <d v="2026-03-11T00:00:00"/>
    <x v="2"/>
  </r>
  <r>
    <d v="2026-03-02T00:00:00"/>
    <d v="2026-03-05T00:00:00"/>
    <d v="2026-03-08T00:00:00"/>
    <s v="MANOEL JOAO DIAS"/>
    <x v="0"/>
    <s v="John"/>
    <s v="M"/>
    <m/>
    <m/>
    <s v="Pendente"/>
    <d v="2026-03-11T00:00:00"/>
    <x v="2"/>
  </r>
  <r>
    <d v="2026-03-02T00:00:00"/>
    <d v="2026-03-05T00:00:00"/>
    <d v="2026-03-08T00:00:00"/>
    <s v="ERIC FERNANDO MONTEIRO DA SILVA"/>
    <x v="1"/>
    <s v="Jéssica"/>
    <s v="F"/>
    <m/>
    <m/>
    <s v="Pendente"/>
    <d v="2026-03-11T00:00:00"/>
    <x v="2"/>
  </r>
  <r>
    <d v="2026-03-02T00:00:00"/>
    <d v="2026-03-05T00:00:00"/>
    <d v="2026-03-08T00:00:00"/>
    <s v="GERALDO RIBEIRO SILVERIO"/>
    <x v="3"/>
    <s v="John"/>
    <s v="M"/>
    <m/>
    <m/>
    <s v="Pendente"/>
    <d v="2026-03-11T00:00:00"/>
    <x v="2"/>
  </r>
  <r>
    <d v="2026-03-02T00:00:00"/>
    <d v="2026-03-05T00:00:00"/>
    <d v="2026-03-08T00:00:00"/>
    <s v="NEURI BORGES DE SOUZA"/>
    <x v="0"/>
    <s v="John"/>
    <s v="M"/>
    <m/>
    <m/>
    <s v="Pendente"/>
    <d v="2026-03-11T00:00:00"/>
    <x v="2"/>
  </r>
  <r>
    <d v="2026-03-03T00:00:00"/>
    <d v="2026-03-06T00:00:00"/>
    <d v="2026-03-09T00:00:00"/>
    <s v="LEONARDO RYAN ALVES DE MENEZES"/>
    <x v="11"/>
    <s v="John"/>
    <s v="M"/>
    <m/>
    <m/>
    <s v="Pendente"/>
    <d v="2026-03-12T00:00:00"/>
    <x v="2"/>
  </r>
  <r>
    <d v="2026-03-03T00:00:00"/>
    <d v="2026-03-06T00:00:00"/>
    <d v="2026-03-09T00:00:00"/>
    <s v="JOSE GERALDO BARBOSA DE JESUS"/>
    <x v="3"/>
    <s v="John"/>
    <s v="M"/>
    <m/>
    <m/>
    <s v="Pendente"/>
    <d v="2026-03-12T00:00:00"/>
    <x v="2"/>
  </r>
  <r>
    <d v="2026-03-03T00:00:00"/>
    <d v="2026-03-06T00:00:00"/>
    <d v="2026-03-09T00:00:00"/>
    <s v="WILSON FONSECA LEMOS"/>
    <x v="1"/>
    <s v="John"/>
    <s v="M"/>
    <m/>
    <m/>
    <s v="Pendente"/>
    <d v="2026-03-12T00:00:00"/>
    <x v="2"/>
  </r>
  <r>
    <d v="2026-03-03T00:00:00"/>
    <d v="2026-03-06T00:00:00"/>
    <d v="2026-03-09T00:00:00"/>
    <s v="PAULO SERGIO ALVES AZEVEDO"/>
    <x v="2"/>
    <s v="John"/>
    <s v="M"/>
    <m/>
    <m/>
    <s v="Pendente"/>
    <d v="2026-03-12T00:00:00"/>
    <x v="2"/>
  </r>
  <r>
    <d v="2026-03-03T00:00:00"/>
    <d v="2026-03-06T00:00:00"/>
    <d v="2026-03-09T00:00:00"/>
    <s v="EMERSON VIEIRA DA SILVA"/>
    <x v="11"/>
    <s v="John"/>
    <s v="M"/>
    <m/>
    <m/>
    <s v="Pendente"/>
    <d v="2026-03-12T00:00:00"/>
    <x v="2"/>
  </r>
  <r>
    <d v="2026-03-03T00:00:00"/>
    <d v="2026-03-06T00:00:00"/>
    <d v="2026-03-09T00:00:00"/>
    <s v="RAIMUNDO DE PAULA FILHO"/>
    <x v="2"/>
    <s v="John"/>
    <s v="M"/>
    <m/>
    <m/>
    <s v="Pendente"/>
    <d v="2026-03-12T00:00:00"/>
    <x v="2"/>
  </r>
  <r>
    <d v="2026-03-03T00:00:00"/>
    <d v="2026-03-06T00:00:00"/>
    <d v="2026-03-09T00:00:00"/>
    <s v="WILSON RAMOS"/>
    <x v="2"/>
    <s v="Leticia"/>
    <s v="F"/>
    <m/>
    <m/>
    <s v="Pendente"/>
    <d v="2026-03-12T00:00:00"/>
    <x v="2"/>
  </r>
  <r>
    <d v="2026-03-03T00:00:00"/>
    <d v="2026-03-06T00:00:00"/>
    <d v="2026-03-09T00:00:00"/>
    <s v="ANDERSON PERES DE OLIVEIRA"/>
    <x v="2"/>
    <s v="Enzo"/>
    <m/>
    <m/>
    <m/>
    <s v="Pendente"/>
    <d v="2026-03-12T00:00:00"/>
    <x v="2"/>
  </r>
  <r>
    <d v="2026-03-03T00:00:00"/>
    <d v="2026-03-06T00:00:00"/>
    <d v="2026-03-09T00:00:00"/>
    <s v="LUIS CARLOS SOARES PACHECO"/>
    <x v="1"/>
    <s v="Jacqueline"/>
    <s v="F"/>
    <m/>
    <m/>
    <s v="Pendente"/>
    <d v="2026-03-12T00:00:00"/>
    <x v="2"/>
  </r>
  <r>
    <d v="2026-03-03T00:00:00"/>
    <d v="2026-03-06T00:00:00"/>
    <d v="2026-03-09T00:00:00"/>
    <s v="ISMAIR FERREIRA DE OLIVEIRA"/>
    <x v="0"/>
    <s v="Leticia"/>
    <s v="F"/>
    <m/>
    <m/>
    <s v="Pendente"/>
    <d v="2026-03-12T00:00:00"/>
    <x v="2"/>
  </r>
  <r>
    <d v="2026-03-03T00:00:00"/>
    <d v="2026-03-06T00:00:00"/>
    <d v="2026-03-09T00:00:00"/>
    <s v="ELSO SAMPAIO NUNES"/>
    <x v="2"/>
    <s v="Leticia"/>
    <s v="F"/>
    <m/>
    <m/>
    <s v="Pendente"/>
    <d v="2026-03-12T00:00:00"/>
    <x v="2"/>
  </r>
  <r>
    <d v="2026-03-03T00:00:00"/>
    <d v="2026-03-06T00:00:00"/>
    <d v="2026-03-09T00:00:00"/>
    <s v="CREUZA SANTANA GUNDIN"/>
    <x v="2"/>
    <s v="John"/>
    <s v="M"/>
    <m/>
    <m/>
    <s v="Pendente"/>
    <d v="2026-03-12T00:00:00"/>
    <x v="2"/>
  </r>
  <r>
    <d v="2026-03-03T00:00:00"/>
    <d v="2026-03-06T00:00:00"/>
    <d v="2026-03-09T00:00:00"/>
    <s v="NELMA MARIA DA GLORIA LIMA"/>
    <x v="0"/>
    <s v="Jacqueline"/>
    <s v="F"/>
    <m/>
    <m/>
    <s v="Pendente"/>
    <d v="2026-03-12T00:00:00"/>
    <x v="2"/>
  </r>
  <r>
    <d v="2026-03-03T00:00:00"/>
    <d v="2026-03-06T00:00:00"/>
    <d v="2026-03-09T00:00:00"/>
    <s v="CRISTIANO DANTAS NOVAES"/>
    <x v="1"/>
    <s v="Isabella"/>
    <s v="F"/>
    <m/>
    <m/>
    <s v="Pendente"/>
    <d v="2026-03-12T00:00:00"/>
    <x v="2"/>
  </r>
  <r>
    <d v="2026-03-04T00:00:00"/>
    <d v="2026-03-07T00:00:00"/>
    <d v="2026-03-10T00:00:00"/>
    <s v="JOAO MARIA DA SILVA"/>
    <x v="0"/>
    <s v="Leticia"/>
    <s v="F"/>
    <m/>
    <m/>
    <s v="Pendente"/>
    <d v="2026-03-13T00:00:00"/>
    <x v="2"/>
  </r>
  <r>
    <d v="2026-03-04T00:00:00"/>
    <d v="2026-03-07T00:00:00"/>
    <d v="2026-03-10T00:00:00"/>
    <s v="ROGERIO GRANADO"/>
    <x v="3"/>
    <s v="Leticia"/>
    <s v="F"/>
    <m/>
    <m/>
    <s v="Pendente"/>
    <d v="2026-03-13T00:00:00"/>
    <x v="2"/>
  </r>
  <r>
    <d v="2026-03-04T00:00:00"/>
    <d v="2026-03-07T00:00:00"/>
    <d v="2026-03-10T00:00:00"/>
    <s v="THIAGO APARECIDO AFONSO DE CARVALHO"/>
    <x v="9"/>
    <s v="John"/>
    <s v="M"/>
    <m/>
    <m/>
    <s v="Pendente"/>
    <d v="2026-03-13T00:00:00"/>
    <x v="2"/>
  </r>
  <r>
    <d v="2026-03-04T00:00:00"/>
    <d v="2026-03-07T00:00:00"/>
    <d v="2026-03-10T00:00:00"/>
    <s v="MARCOS DE OLIVEIRA MUNIZ"/>
    <x v="1"/>
    <s v="John"/>
    <s v="M"/>
    <m/>
    <m/>
    <s v="Pendente"/>
    <d v="2026-03-13T00:00:00"/>
    <x v="2"/>
  </r>
  <r>
    <d v="2026-03-04T00:00:00"/>
    <d v="2026-03-07T00:00:00"/>
    <d v="2026-03-10T00:00:00"/>
    <s v="IZABEL DE FATIMA ALVES SOBRAL"/>
    <x v="4"/>
    <s v="John"/>
    <s v="M"/>
    <m/>
    <m/>
    <s v="Pendente"/>
    <d v="2026-03-13T00:00:00"/>
    <x v="2"/>
  </r>
  <r>
    <d v="2026-03-04T00:00:00"/>
    <d v="2026-03-07T00:00:00"/>
    <d v="2026-03-10T00:00:00"/>
    <s v="FELIPE PATRICIO DA SILVA"/>
    <x v="5"/>
    <s v="John"/>
    <s v="M"/>
    <m/>
    <m/>
    <s v="Pendente"/>
    <d v="2026-03-13T00:00:00"/>
    <x v="2"/>
  </r>
  <r>
    <d v="2026-03-04T00:00:00"/>
    <d v="2026-03-07T00:00:00"/>
    <d v="2026-03-10T00:00:00"/>
    <s v="ESTER SPINELI"/>
    <x v="3"/>
    <s v="John"/>
    <s v="M"/>
    <m/>
    <m/>
    <s v="Pendente"/>
    <d v="2026-03-13T00:00:00"/>
    <x v="2"/>
  </r>
  <r>
    <d v="2026-03-04T00:00:00"/>
    <d v="2026-03-07T00:00:00"/>
    <d v="2026-03-10T00:00:00"/>
    <s v="DENIS MURILO FERREIRA"/>
    <x v="0"/>
    <s v="John"/>
    <s v="M"/>
    <m/>
    <m/>
    <s v="Pendente"/>
    <d v="2026-03-13T00:00:00"/>
    <x v="2"/>
  </r>
  <r>
    <d v="2026-03-04T00:00:00"/>
    <d v="2026-03-07T00:00:00"/>
    <d v="2026-03-10T00:00:00"/>
    <s v="CRISTINA GONCALVES DE SOUZA"/>
    <x v="1"/>
    <s v="John"/>
    <s v="M"/>
    <m/>
    <m/>
    <s v="Pendente"/>
    <d v="2026-03-13T00:00:00"/>
    <x v="2"/>
  </r>
  <r>
    <d v="2026-03-04T00:00:00"/>
    <d v="2026-03-07T00:00:00"/>
    <d v="2026-03-10T00:00:00"/>
    <s v="CRISTINA GONCALVES DE SOUZA"/>
    <x v="1"/>
    <s v="John"/>
    <s v="M"/>
    <m/>
    <m/>
    <s v="Pendente"/>
    <d v="2026-03-13T00:00:00"/>
    <x v="2"/>
  </r>
  <r>
    <d v="2026-03-04T00:00:00"/>
    <d v="2026-03-07T00:00:00"/>
    <d v="2026-03-10T00:00:00"/>
    <s v="NILSON JOSE TIGRE"/>
    <x v="1"/>
    <s v="John"/>
    <s v="M"/>
    <m/>
    <m/>
    <s v="Pendente"/>
    <d v="2026-03-13T00:00:00"/>
    <x v="2"/>
  </r>
  <r>
    <d v="2026-03-04T00:00:00"/>
    <d v="2026-03-07T00:00:00"/>
    <d v="2026-03-10T00:00:00"/>
    <s v="JONATAS DE SOUSA LIRA DA COSTA"/>
    <x v="9"/>
    <s v="Enzo"/>
    <m/>
    <m/>
    <m/>
    <s v="Pendente"/>
    <d v="2026-03-13T00:00:00"/>
    <x v="2"/>
  </r>
  <r>
    <d v="2026-03-04T00:00:00"/>
    <d v="2026-03-07T00:00:00"/>
    <d v="2026-03-10T00:00:00"/>
    <s v="JOSE ANTONIO DA SILVA"/>
    <x v="2"/>
    <s v="Leticia"/>
    <s v="F"/>
    <m/>
    <m/>
    <s v="Pendente"/>
    <d v="2026-03-13T00:00:00"/>
    <x v="2"/>
  </r>
  <r>
    <d v="2026-03-04T00:00:00"/>
    <d v="2026-03-07T00:00:00"/>
    <d v="2026-03-10T00:00:00"/>
    <s v="LUCAS MARTINS MARTINEZ"/>
    <x v="0"/>
    <s v="Jacqueline"/>
    <s v="F"/>
    <m/>
    <m/>
    <s v="Pendente"/>
    <d v="2026-03-13T00:00:00"/>
    <x v="2"/>
  </r>
  <r>
    <d v="2026-03-04T00:00:00"/>
    <d v="2026-03-07T00:00:00"/>
    <d v="2026-03-10T00:00:00"/>
    <s v="ANTONIO ROMILTON DA SILVA OLIVEIRA"/>
    <x v="0"/>
    <s v="Jacqueline"/>
    <s v="F"/>
    <m/>
    <m/>
    <s v="Pendente"/>
    <d v="2026-03-13T00:00:00"/>
    <x v="2"/>
  </r>
  <r>
    <d v="2026-03-04T00:00:00"/>
    <d v="2026-03-07T00:00:00"/>
    <d v="2026-03-10T00:00:00"/>
    <s v="JULIANO CAMARGO DA CUNHA"/>
    <x v="1"/>
    <s v="Leticia"/>
    <s v="F"/>
    <m/>
    <m/>
    <s v="Pendente"/>
    <d v="2026-03-13T00:00:00"/>
    <x v="2"/>
  </r>
  <r>
    <d v="2026-03-04T00:00:00"/>
    <d v="2026-03-07T00:00:00"/>
    <d v="2026-03-10T00:00:00"/>
    <s v="ITAMAR DE MELO ACCESSOR"/>
    <x v="1"/>
    <s v="John"/>
    <s v="M"/>
    <m/>
    <m/>
    <s v="Pendente"/>
    <d v="2026-03-13T00:00:00"/>
    <x v="2"/>
  </r>
  <r>
    <d v="2026-03-05T00:00:00"/>
    <d v="2026-03-08T00:00:00"/>
    <d v="2026-03-11T00:00:00"/>
    <s v="JUAREZ LIMA SANTOS"/>
    <x v="3"/>
    <s v="Leticia"/>
    <s v="F"/>
    <m/>
    <m/>
    <s v="Pendente"/>
    <d v="2026-03-14T00:00:00"/>
    <x v="2"/>
  </r>
  <r>
    <d v="2026-03-05T00:00:00"/>
    <d v="2026-03-08T00:00:00"/>
    <d v="2026-03-11T00:00:00"/>
    <s v="ALEXANDRE ROBERTO PIMENTA"/>
    <x v="0"/>
    <s v="Jacqueline"/>
    <s v="F"/>
    <m/>
    <m/>
    <s v="Pendente"/>
    <d v="2026-03-14T00:00:00"/>
    <x v="2"/>
  </r>
  <r>
    <d v="2026-03-05T00:00:00"/>
    <d v="2026-03-08T00:00:00"/>
    <d v="2026-03-11T00:00:00"/>
    <s v="ELIANE DOS SANTOS MARIOLLA"/>
    <x v="4"/>
    <s v="Jacqueline"/>
    <s v="F"/>
    <m/>
    <m/>
    <s v="Pendente"/>
    <d v="2026-03-14T00:00:00"/>
    <x v="2"/>
  </r>
  <r>
    <d v="2026-03-05T00:00:00"/>
    <d v="2026-03-08T00:00:00"/>
    <d v="2026-03-11T00:00:00"/>
    <s v="LUCAS REJANIO ALVES DE MENEZES"/>
    <x v="2"/>
    <s v="John"/>
    <s v="M"/>
    <m/>
    <m/>
    <s v="Pendente"/>
    <d v="2026-03-14T00:00:00"/>
    <x v="2"/>
  </r>
  <r>
    <d v="2026-03-05T00:00:00"/>
    <d v="2026-03-08T00:00:00"/>
    <d v="2026-03-11T00:00:00"/>
    <s v="ANA CAROLINA LUJZA DE MOURA PRAGER"/>
    <x v="3"/>
    <s v="John"/>
    <s v="M"/>
    <m/>
    <m/>
    <s v="Pendente"/>
    <d v="2026-03-14T00:00:00"/>
    <x v="2"/>
  </r>
  <r>
    <d v="2026-03-05T00:00:00"/>
    <d v="2026-03-08T00:00:00"/>
    <d v="2026-03-11T00:00:00"/>
    <s v="ANA CAROLINA LUJZA DE MOURA PRAGER"/>
    <x v="0"/>
    <s v="John"/>
    <s v="M"/>
    <m/>
    <m/>
    <s v="Pendente"/>
    <d v="2026-03-14T00:00:00"/>
    <x v="2"/>
  </r>
  <r>
    <d v="2026-03-05T00:00:00"/>
    <d v="2026-03-08T00:00:00"/>
    <d v="2026-03-11T00:00:00"/>
    <s v="CAIQUE SPEZZANO DA SILVA"/>
    <x v="1"/>
    <s v="John"/>
    <s v="M"/>
    <m/>
    <m/>
    <s v="Pendente"/>
    <d v="2026-03-14T00:00:00"/>
    <x v="2"/>
  </r>
  <r>
    <d v="2026-03-05T00:00:00"/>
    <d v="2026-03-08T00:00:00"/>
    <d v="2026-03-11T00:00:00"/>
    <s v="DAYANE OLIVEIRA GRILO DORNELAS"/>
    <x v="2"/>
    <s v="John"/>
    <s v="M"/>
    <m/>
    <m/>
    <s v="Pendente"/>
    <d v="2026-03-14T00:00:00"/>
    <x v="2"/>
  </r>
  <r>
    <d v="2026-03-05T00:00:00"/>
    <d v="2026-03-08T00:00:00"/>
    <d v="2026-03-11T00:00:00"/>
    <s v="SIDNEI LOPES DA SILVA"/>
    <x v="3"/>
    <s v="John"/>
    <s v="M"/>
    <m/>
    <m/>
    <s v="Pendente"/>
    <d v="2026-03-14T00:00:00"/>
    <x v="2"/>
  </r>
  <r>
    <d v="2026-03-05T00:00:00"/>
    <d v="2026-03-08T00:00:00"/>
    <d v="2026-03-11T00:00:00"/>
    <s v="VALTERIO REIS OLIVEIRA MIRANDA"/>
    <x v="0"/>
    <s v="Myrelle"/>
    <s v="F"/>
    <m/>
    <m/>
    <s v="Pendente"/>
    <d v="2026-03-14T00:00:00"/>
    <x v="2"/>
  </r>
  <r>
    <d v="2026-03-05T00:00:00"/>
    <d v="2026-03-08T00:00:00"/>
    <d v="2026-03-11T00:00:00"/>
    <s v="LEANDRO GODINHO"/>
    <x v="9"/>
    <s v="John"/>
    <s v="M"/>
    <m/>
    <m/>
    <s v="Pendente"/>
    <d v="2026-03-14T00:00:00"/>
    <x v="2"/>
  </r>
  <r>
    <d v="2026-03-05T00:00:00"/>
    <d v="2026-03-08T00:00:00"/>
    <d v="2026-03-11T00:00:00"/>
    <s v="SOLANDIA BATISTA BRAZ"/>
    <x v="1"/>
    <s v="Enzo"/>
    <m/>
    <m/>
    <m/>
    <s v="Pendente"/>
    <d v="2026-03-14T00:00:00"/>
    <x v="2"/>
  </r>
  <r>
    <d v="2026-03-05T00:00:00"/>
    <d v="2026-03-08T00:00:00"/>
    <d v="2026-03-11T00:00:00"/>
    <s v="SOLANDIA BATISTA BRAZ"/>
    <x v="0"/>
    <s v="Enzo"/>
    <m/>
    <m/>
    <m/>
    <s v="Pendente"/>
    <d v="2026-03-14T00:00:00"/>
    <x v="2"/>
  </r>
  <r>
    <d v="2026-03-05T00:00:00"/>
    <d v="2026-03-08T00:00:00"/>
    <d v="2026-03-11T00:00:00"/>
    <s v="EVELAINE MARTINEZ CERQUEIRA"/>
    <x v="4"/>
    <s v="Myrelle"/>
    <s v="F"/>
    <m/>
    <m/>
    <s v="Pendente"/>
    <d v="2026-03-14T00:00:00"/>
    <x v="2"/>
  </r>
  <r>
    <d v="2026-03-05T00:00:00"/>
    <d v="2026-03-08T00:00:00"/>
    <d v="2026-03-11T00:00:00"/>
    <s v="EVELAINE MARTINEZ CERQUEIRA"/>
    <x v="4"/>
    <s v="Myrelle"/>
    <s v="F"/>
    <m/>
    <m/>
    <s v="Pendente"/>
    <d v="2026-03-14T00:00:00"/>
    <x v="2"/>
  </r>
  <r>
    <d v="2026-03-05T00:00:00"/>
    <d v="2026-03-08T00:00:00"/>
    <d v="2026-03-11T00:00:00"/>
    <s v="VALTERIO REIS OLIVEIRA MIRANDA"/>
    <x v="0"/>
    <s v="Myrelle"/>
    <s v="F"/>
    <m/>
    <m/>
    <s v="Pendente"/>
    <d v="2026-03-14T00:00:00"/>
    <x v="2"/>
  </r>
  <r>
    <d v="2026-03-06T00:00:00"/>
    <d v="2026-03-09T00:00:00"/>
    <d v="2026-03-12T00:00:00"/>
    <s v="DONIZETE BANDARIQUE"/>
    <x v="0"/>
    <s v="Jacqueline"/>
    <s v="F"/>
    <m/>
    <m/>
    <s v="Pendente"/>
    <d v="2026-03-15T00:00:00"/>
    <x v="2"/>
  </r>
  <r>
    <d v="2026-03-06T00:00:00"/>
    <d v="2026-03-09T00:00:00"/>
    <d v="2026-03-12T00:00:00"/>
    <s v="PAULO JOSE NASCIMENTO"/>
    <x v="0"/>
    <s v="Leticia"/>
    <s v="F"/>
    <m/>
    <m/>
    <s v="Pendente"/>
    <d v="2026-03-15T00:00:00"/>
    <x v="2"/>
  </r>
  <r>
    <d v="2026-03-06T00:00:00"/>
    <d v="2026-03-09T00:00:00"/>
    <d v="2026-03-12T00:00:00"/>
    <s v="EVERTTON MELLANYO CAITANO DA SILVA"/>
    <x v="0"/>
    <s v="John"/>
    <s v="M"/>
    <m/>
    <m/>
    <s v="Pendente"/>
    <d v="2026-03-15T00:00:00"/>
    <x v="2"/>
  </r>
  <r>
    <d v="2026-03-06T00:00:00"/>
    <d v="2026-03-09T00:00:00"/>
    <d v="2026-03-12T00:00:00"/>
    <s v="NATALICIO SOARES CAMPOS"/>
    <x v="4"/>
    <s v="Myrelle"/>
    <s v="F"/>
    <m/>
    <m/>
    <s v="Pendente"/>
    <d v="2026-03-15T00:00:00"/>
    <x v="2"/>
  </r>
  <r>
    <d v="2026-03-06T00:00:00"/>
    <d v="2026-03-09T00:00:00"/>
    <d v="2026-03-12T00:00:00"/>
    <s v="CLAUDINEI DA SILVA"/>
    <x v="2"/>
    <s v="Myrelle"/>
    <s v="F"/>
    <m/>
    <m/>
    <s v="Pendente"/>
    <d v="2026-03-15T00:00:00"/>
    <x v="2"/>
  </r>
  <r>
    <d v="2026-03-06T00:00:00"/>
    <d v="2026-03-09T00:00:00"/>
    <d v="2026-03-12T00:00:00"/>
    <s v="JOCIMAR PEDRO DA SILVA"/>
    <x v="1"/>
    <s v="John"/>
    <s v="M"/>
    <m/>
    <m/>
    <s v="Pendente"/>
    <d v="2026-03-15T00:00:00"/>
    <x v="2"/>
  </r>
  <r>
    <d v="2026-03-06T00:00:00"/>
    <d v="2026-03-09T00:00:00"/>
    <d v="2026-03-12T00:00:00"/>
    <s v="NEUZA BARBOSA RIBEIRO"/>
    <x v="2"/>
    <s v="Isabella"/>
    <s v="F"/>
    <m/>
    <m/>
    <s v="Pendente"/>
    <d v="2026-03-15T00:00:00"/>
    <x v="2"/>
  </r>
  <r>
    <d v="2026-03-06T00:00:00"/>
    <d v="2026-03-09T00:00:00"/>
    <d v="2026-03-12T00:00:00"/>
    <s v="DENILSON LOPES VISGUEIRA"/>
    <x v="1"/>
    <s v="Isabella"/>
    <s v="F"/>
    <m/>
    <m/>
    <s v="Pendente"/>
    <d v="2026-03-15T00:00:00"/>
    <x v="2"/>
  </r>
  <r>
    <d v="2026-03-06T00:00:00"/>
    <d v="2026-03-09T00:00:00"/>
    <d v="2026-03-12T00:00:00"/>
    <s v="KAUAN SILVA DE AQUINO"/>
    <x v="1"/>
    <s v="Isabella"/>
    <s v="F"/>
    <m/>
    <m/>
    <s v="Pendente"/>
    <d v="2026-03-15T00:00:00"/>
    <x v="2"/>
  </r>
  <r>
    <d v="2026-03-06T00:00:00"/>
    <d v="2026-03-09T00:00:00"/>
    <d v="2026-03-12T00:00:00"/>
    <s v="JOAO LEITE DE ARAUJO"/>
    <x v="0"/>
    <s v="Isabella"/>
    <s v="F"/>
    <m/>
    <m/>
    <s v="Pendente"/>
    <d v="2026-03-15T00:00:00"/>
    <x v="2"/>
  </r>
  <r>
    <d v="2026-03-06T00:00:00"/>
    <d v="2026-03-09T00:00:00"/>
    <d v="2026-03-12T00:00:00"/>
    <s v="JANDERSON MACEDO LOPES"/>
    <x v="2"/>
    <s v="Leticia"/>
    <s v="F"/>
    <m/>
    <m/>
    <s v="Pendente"/>
    <d v="2026-03-15T00:00:00"/>
    <x v="2"/>
  </r>
  <r>
    <d v="2026-03-06T00:00:00"/>
    <d v="2026-03-09T00:00:00"/>
    <d v="2026-03-12T00:00:00"/>
    <s v="FLAVIANA MARQUES ALENCAR"/>
    <x v="0"/>
    <s v="Jacqueline"/>
    <s v="F"/>
    <m/>
    <m/>
    <s v="Pendente"/>
    <d v="2026-03-15T00:00:00"/>
    <x v="2"/>
  </r>
  <r>
    <d v="2026-03-09T00:00:00"/>
    <d v="2026-03-12T00:00:00"/>
    <d v="2026-03-15T00:00:00"/>
    <s v="EDUARDO DAVOGLIO BARBOSA"/>
    <x v="1"/>
    <s v="John"/>
    <s v="M"/>
    <m/>
    <m/>
    <s v="Pendente"/>
    <d v="2026-03-18T00:00:00"/>
    <x v="2"/>
  </r>
  <r>
    <d v="2026-03-09T00:00:00"/>
    <d v="2026-03-12T00:00:00"/>
    <d v="2026-03-15T00:00:00"/>
    <s v="ANNA KAROLINE DA SILVA PORTELA"/>
    <x v="0"/>
    <s v="John"/>
    <s v="M"/>
    <m/>
    <m/>
    <s v="Pendente"/>
    <d v="2026-03-18T00:00:00"/>
    <x v="2"/>
  </r>
  <r>
    <d v="2026-03-09T00:00:00"/>
    <d v="2026-03-12T00:00:00"/>
    <d v="2026-03-15T00:00:00"/>
    <s v="ANDERSON GONELIS LOPES"/>
    <x v="1"/>
    <s v="John"/>
    <s v="M"/>
    <m/>
    <m/>
    <s v="Pendente"/>
    <d v="2026-03-18T00:00:00"/>
    <x v="2"/>
  </r>
  <r>
    <d v="2026-03-09T00:00:00"/>
    <d v="2026-03-12T00:00:00"/>
    <d v="2026-03-15T00:00:00"/>
    <s v="DIEGO CARLOS VALENTIM"/>
    <x v="1"/>
    <s v="Isabella"/>
    <s v="F"/>
    <m/>
    <m/>
    <s v="Pendente"/>
    <d v="2026-03-18T00:00:00"/>
    <x v="2"/>
  </r>
  <r>
    <d v="2026-03-09T00:00:00"/>
    <d v="2026-03-12T00:00:00"/>
    <d v="2026-03-15T00:00:00"/>
    <s v="VERAILTON OLIVEIRA LOPES"/>
    <x v="0"/>
    <s v="Jéssica"/>
    <s v="F"/>
    <m/>
    <m/>
    <s v="Pendente"/>
    <d v="2026-03-18T00:00:00"/>
    <x v="2"/>
  </r>
  <r>
    <d v="2026-03-09T00:00:00"/>
    <d v="2026-03-12T00:00:00"/>
    <d v="2026-03-15T00:00:00"/>
    <s v="KASSIO RICARDO CAVALCANTE GONZAGA"/>
    <x v="0"/>
    <s v="Jéssica"/>
    <s v="F"/>
    <m/>
    <m/>
    <s v="Pendente"/>
    <d v="2026-03-18T00:00:00"/>
    <x v="2"/>
  </r>
  <r>
    <d v="2026-03-09T00:00:00"/>
    <d v="2026-03-12T00:00:00"/>
    <d v="2026-03-15T00:00:00"/>
    <s v="ANTONIO VAZ DE CARVALHO"/>
    <x v="0"/>
    <s v="Jacqueline"/>
    <s v="F"/>
    <m/>
    <m/>
    <s v="Pendente"/>
    <d v="2026-03-18T00:00:00"/>
    <x v="2"/>
  </r>
  <r>
    <d v="2026-03-09T00:00:00"/>
    <d v="2026-03-12T00:00:00"/>
    <d v="2026-03-15T00:00:00"/>
    <s v="EDVALDO BATISTA DOS SANTOS"/>
    <x v="4"/>
    <s v="Enzo"/>
    <m/>
    <m/>
    <m/>
    <s v="Pendente"/>
    <d v="2026-03-18T00:00:00"/>
    <x v="2"/>
  </r>
  <r>
    <d v="2026-03-09T00:00:00"/>
    <d v="2026-03-12T00:00:00"/>
    <d v="2026-03-15T00:00:00"/>
    <s v="KARINA FERREIRA DE SOUZA"/>
    <x v="2"/>
    <s v="Leticia"/>
    <s v="F"/>
    <m/>
    <m/>
    <s v="Pendente"/>
    <d v="2026-03-18T00:00:00"/>
    <x v="2"/>
  </r>
  <r>
    <d v="2026-03-10T00:00:00"/>
    <d v="2026-03-13T00:00:00"/>
    <d v="2026-03-16T00:00:00"/>
    <s v="CLEIDIMAR FURTUNATO DOS SANTOS"/>
    <x v="10"/>
    <s v="Jacqueline"/>
    <s v="F"/>
    <m/>
    <m/>
    <s v="Pendente"/>
    <d v="2026-03-19T00:00:00"/>
    <x v="2"/>
  </r>
  <r>
    <d v="2026-03-09T00:00:00"/>
    <d v="2026-03-12T00:00:00"/>
    <d v="2026-03-15T00:00:00"/>
    <s v="FABIO DA SILVA PIMENTEL"/>
    <x v="2"/>
    <s v="John"/>
    <s v="M"/>
    <m/>
    <m/>
    <s v="Pendente"/>
    <d v="2026-03-18T00:00:00"/>
    <x v="2"/>
  </r>
  <r>
    <d v="2026-03-10T00:00:00"/>
    <d v="2026-03-13T00:00:00"/>
    <d v="2026-03-16T00:00:00"/>
    <s v="GISELE CAROLAINE CLAUDINO DE PONTES"/>
    <x v="1"/>
    <s v="Jéssica"/>
    <s v="F"/>
    <m/>
    <m/>
    <s v="Pendente"/>
    <d v="2026-03-19T00:00:00"/>
    <x v="2"/>
  </r>
  <r>
    <d v="2026-03-10T00:00:00"/>
    <d v="2026-03-13T00:00:00"/>
    <d v="2026-03-16T00:00:00"/>
    <s v="JOSE AUGUSTO LIMA DA SILVA"/>
    <x v="3"/>
    <s v="John"/>
    <s v="M"/>
    <m/>
    <m/>
    <s v="Pendente"/>
    <d v="2026-03-19T00:00:00"/>
    <x v="2"/>
  </r>
  <r>
    <d v="2026-03-10T00:00:00"/>
    <d v="2026-03-13T00:00:00"/>
    <d v="2026-03-16T00:00:00"/>
    <s v="DENISE DE SA MARQUES DOS SANTOS"/>
    <x v="5"/>
    <s v="John"/>
    <s v="M"/>
    <m/>
    <m/>
    <s v="Pendente"/>
    <d v="2026-03-19T00:00:00"/>
    <x v="2"/>
  </r>
  <r>
    <d v="2026-03-10T00:00:00"/>
    <d v="2026-03-13T00:00:00"/>
    <d v="2026-03-16T00:00:00"/>
    <s v="FERNANDA SILVA DE OLIVEIRA ME"/>
    <x v="11"/>
    <s v="John"/>
    <s v="M"/>
    <m/>
    <m/>
    <s v="Pendente"/>
    <d v="2026-03-19T00:00:00"/>
    <x v="2"/>
  </r>
  <r>
    <d v="2026-03-10T00:00:00"/>
    <d v="2026-03-13T00:00:00"/>
    <d v="2026-03-16T00:00:00"/>
    <s v="RAFF COMERCIO VAREJISTA DE SORVETES LTDA"/>
    <x v="3"/>
    <s v="John"/>
    <s v="M"/>
    <m/>
    <m/>
    <s v="Pendente"/>
    <d v="2026-03-19T00:00:00"/>
    <x v="2"/>
  </r>
  <r>
    <d v="2026-03-10T00:00:00"/>
    <d v="2026-03-13T00:00:00"/>
    <d v="2026-03-16T00:00:00"/>
    <s v="ADRIANA MARQUES DA SILVA SOUZA"/>
    <x v="2"/>
    <s v="John"/>
    <s v="M"/>
    <m/>
    <m/>
    <s v="Pendente"/>
    <d v="2026-03-19T00:00:00"/>
    <x v="2"/>
  </r>
  <r>
    <d v="2026-03-10T00:00:00"/>
    <d v="2026-03-13T00:00:00"/>
    <d v="2026-03-16T00:00:00"/>
    <s v="ANDERSON LINARES SANTANA"/>
    <x v="2"/>
    <s v="John"/>
    <s v="M"/>
    <m/>
    <m/>
    <s v="Pendente"/>
    <d v="2026-03-19T00:00:00"/>
    <x v="2"/>
  </r>
  <r>
    <d v="2026-03-10T00:00:00"/>
    <d v="2026-03-13T00:00:00"/>
    <d v="2026-03-16T00:00:00"/>
    <s v="KAIQUE FERNANDES COSTA DOS SANTOS"/>
    <x v="1"/>
    <s v="John"/>
    <s v="M"/>
    <m/>
    <m/>
    <s v="Pendente"/>
    <d v="2026-03-19T00:00:00"/>
    <x v="2"/>
  </r>
  <r>
    <d v="2026-03-10T00:00:00"/>
    <d v="2026-03-13T00:00:00"/>
    <d v="2026-03-16T00:00:00"/>
    <s v="RICARDO ALEXANDRE MANSO DOS SANTOS"/>
    <x v="2"/>
    <s v="John"/>
    <s v="M"/>
    <m/>
    <m/>
    <s v="Pendente"/>
    <d v="2026-03-19T00:00:00"/>
    <x v="2"/>
  </r>
  <r>
    <d v="2026-03-10T00:00:00"/>
    <d v="2026-03-13T00:00:00"/>
    <d v="2026-03-16T00:00:00"/>
    <s v="JANIO DE SOUZA SOARES"/>
    <x v="2"/>
    <s v="John"/>
    <s v="M"/>
    <m/>
    <m/>
    <s v="Pendente"/>
    <d v="2026-03-19T00:00:00"/>
    <x v="2"/>
  </r>
  <r>
    <d v="2026-03-10T00:00:00"/>
    <d v="2026-03-13T00:00:00"/>
    <d v="2026-03-16T00:00:00"/>
    <s v="CESAR SALVINO DO NASCIMENTO"/>
    <x v="1"/>
    <s v="John"/>
    <s v="M"/>
    <m/>
    <m/>
    <s v="Pendente"/>
    <d v="2026-03-19T00:00:00"/>
    <x v="2"/>
  </r>
  <r>
    <d v="2026-03-11T00:00:00"/>
    <d v="2026-03-14T00:00:00"/>
    <d v="2026-03-17T00:00:00"/>
    <s v="EDUARDO CONCEICAO FERREIRA"/>
    <x v="1"/>
    <s v="John"/>
    <s v="M"/>
    <m/>
    <m/>
    <s v="Pendente"/>
    <d v="2026-03-20T00:00:00"/>
    <x v="2"/>
  </r>
  <r>
    <d v="2026-03-11T00:00:00"/>
    <d v="2026-03-14T00:00:00"/>
    <d v="2026-03-17T00:00:00"/>
    <s v="VITORIA SILVA BONI DURANTE"/>
    <x v="3"/>
    <s v="John"/>
    <s v="M"/>
    <m/>
    <m/>
    <s v="Pendente"/>
    <d v="2026-03-20T00:00:00"/>
    <x v="2"/>
  </r>
  <r>
    <d v="2026-03-11T00:00:00"/>
    <d v="2026-03-14T00:00:00"/>
    <d v="2026-03-17T00:00:00"/>
    <s v="MARCIA DE LIMA GALIOTTI"/>
    <x v="2"/>
    <s v="Leticia"/>
    <s v="F"/>
    <m/>
    <m/>
    <s v="Pendente"/>
    <d v="2026-03-20T00:00:00"/>
    <x v="2"/>
  </r>
  <r>
    <d v="2026-03-11T00:00:00"/>
    <d v="2026-03-14T00:00:00"/>
    <d v="2026-03-17T00:00:00"/>
    <s v="BERNONDES COSTA DA CRUZ"/>
    <x v="0"/>
    <s v="Myrelle"/>
    <s v="F"/>
    <m/>
    <m/>
    <s v="Pendente"/>
    <d v="2026-03-20T00:00:00"/>
    <x v="2"/>
  </r>
  <r>
    <d v="2026-03-11T00:00:00"/>
    <d v="2026-03-14T00:00:00"/>
    <d v="2026-03-17T00:00:00"/>
    <s v="FABIO FRANCA BISPO PINHEIRO"/>
    <x v="1"/>
    <s v="Jacqueline"/>
    <s v="F"/>
    <m/>
    <m/>
    <s v="Pendente"/>
    <d v="2026-03-20T00:00:00"/>
    <x v="2"/>
  </r>
  <r>
    <d v="2026-03-11T00:00:00"/>
    <d v="2026-03-14T00:00:00"/>
    <d v="2026-03-17T00:00:00"/>
    <s v="BATISTA FERREIRA DOS SANTOS"/>
    <x v="3"/>
    <s v="Jacqueline"/>
    <s v="F"/>
    <m/>
    <m/>
    <s v="Pendente"/>
    <d v="2026-03-20T00:00:00"/>
    <x v="2"/>
  </r>
  <r>
    <d v="2026-03-11T00:00:00"/>
    <d v="2026-03-14T00:00:00"/>
    <d v="2026-03-17T00:00:00"/>
    <s v="CARLA LUIZA DE JESUS GERONYMO"/>
    <x v="0"/>
    <s v="Leticia"/>
    <s v="F"/>
    <m/>
    <m/>
    <s v="Pendente"/>
    <d v="2026-03-20T00:00:00"/>
    <x v="2"/>
  </r>
  <r>
    <d v="2026-03-11T00:00:00"/>
    <d v="2026-03-14T00:00:00"/>
    <d v="2026-03-17T00:00:00"/>
    <s v="LUIZ CARLOS PECORARO"/>
    <x v="3"/>
    <s v="Leticia"/>
    <s v="F"/>
    <m/>
    <m/>
    <s v="Pendente"/>
    <d v="2026-03-20T00:00:00"/>
    <x v="2"/>
  </r>
  <r>
    <d v="2026-03-11T00:00:00"/>
    <d v="2026-03-14T00:00:00"/>
    <d v="2026-03-17T00:00:00"/>
    <s v="MARIA DE FATIMA OLIVEIRA DA SILVA"/>
    <x v="4"/>
    <s v="Myrelle"/>
    <s v="F"/>
    <m/>
    <m/>
    <s v="Pendente"/>
    <d v="2026-03-20T00:00:00"/>
    <x v="2"/>
  </r>
  <r>
    <d v="2026-03-11T00:00:00"/>
    <d v="2026-03-14T00:00:00"/>
    <d v="2026-03-17T00:00:00"/>
    <s v="DECIO MARTINS GOMES"/>
    <x v="0"/>
    <s v="Enzo"/>
    <m/>
    <m/>
    <m/>
    <s v="Pendente"/>
    <d v="2026-03-20T00:00:00"/>
    <x v="2"/>
  </r>
  <r>
    <d v="2026-03-11T00:00:00"/>
    <d v="2026-03-14T00:00:00"/>
    <d v="2026-03-17T00:00:00"/>
    <s v="SIMONE FRANCO DE OLIVEIRA"/>
    <x v="0"/>
    <s v="Enzo"/>
    <m/>
    <m/>
    <m/>
    <s v="Pendente"/>
    <d v="2026-03-20T00:00:00"/>
    <x v="2"/>
  </r>
  <r>
    <d v="2026-03-11T00:00:00"/>
    <d v="2026-03-14T00:00:00"/>
    <d v="2026-03-17T00:00:00"/>
    <s v="WOSNEY DIAS DE PAIVA MOREIRA"/>
    <x v="2"/>
    <s v="Enzo"/>
    <m/>
    <m/>
    <m/>
    <s v="Pendente"/>
    <d v="2026-03-20T00:00:00"/>
    <x v="2"/>
  </r>
  <r>
    <d v="2026-03-12T00:00:00"/>
    <d v="2026-03-15T00:00:00"/>
    <d v="2026-03-18T00:00:00"/>
    <s v="APARECIDO THEODORO"/>
    <x v="0"/>
    <s v="Jacqueline"/>
    <s v="F"/>
    <m/>
    <m/>
    <s v="Pendente"/>
    <d v="2026-03-21T00:00:00"/>
    <x v="2"/>
  </r>
  <r>
    <d v="2026-03-12T00:00:00"/>
    <d v="2026-03-15T00:00:00"/>
    <d v="2026-03-18T00:00:00"/>
    <s v="REGINA LUISA FERNANDES BARROS ALVES"/>
    <x v="3"/>
    <s v="John"/>
    <s v="M"/>
    <m/>
    <m/>
    <s v="Pendente"/>
    <d v="2026-03-21T00:00:00"/>
    <x v="2"/>
  </r>
  <r>
    <d v="2026-03-12T00:00:00"/>
    <d v="2026-03-15T00:00:00"/>
    <d v="2026-03-18T00:00:00"/>
    <s v="PEDRO RAFAEL DE MENEZES FRANCA"/>
    <x v="3"/>
    <s v="John"/>
    <s v="M"/>
    <m/>
    <m/>
    <s v="Pendente"/>
    <d v="2026-03-21T00:00:00"/>
    <x v="2"/>
  </r>
  <r>
    <d v="2026-03-12T00:00:00"/>
    <d v="2026-03-15T00:00:00"/>
    <d v="2026-03-18T00:00:00"/>
    <s v="VANER MENDES DA SILVA"/>
    <x v="0"/>
    <s v="John"/>
    <s v="M"/>
    <m/>
    <m/>
    <s v="Pendente"/>
    <d v="2026-03-21T00:00:00"/>
    <x v="2"/>
  </r>
  <r>
    <d v="2026-03-12T00:00:00"/>
    <d v="2026-03-15T00:00:00"/>
    <d v="2026-03-18T00:00:00"/>
    <s v="EDMUNDO MARQUES DE SOUSA"/>
    <x v="0"/>
    <s v="Leticia"/>
    <s v="F"/>
    <m/>
    <m/>
    <s v="Pendente"/>
    <d v="2026-03-21T00:00:00"/>
    <x v="2"/>
  </r>
  <r>
    <d v="2026-03-12T00:00:00"/>
    <d v="2026-03-15T00:00:00"/>
    <d v="2026-03-18T00:00:00"/>
    <s v="EDUARDO PINHO DOS SANTOS"/>
    <x v="1"/>
    <s v="Jéssica"/>
    <s v="F"/>
    <m/>
    <m/>
    <s v="Pendente"/>
    <d v="2026-03-21T00:00:00"/>
    <x v="2"/>
  </r>
  <r>
    <d v="2026-03-12T00:00:00"/>
    <d v="2026-03-15T00:00:00"/>
    <d v="2026-03-18T00:00:00"/>
    <s v="DIONISIO PEREIRA DOS SANTOS"/>
    <x v="4"/>
    <s v="Jéssica"/>
    <s v="F"/>
    <m/>
    <m/>
    <s v="Pendente"/>
    <d v="2026-03-21T00:00:00"/>
    <x v="2"/>
  </r>
  <r>
    <d v="2026-03-12T00:00:00"/>
    <d v="2026-03-15T00:00:00"/>
    <d v="2026-03-18T00:00:00"/>
    <s v="FLORISVALDO SANTOS NEPOMUCENO"/>
    <x v="3"/>
    <s v="Leticia"/>
    <s v="F"/>
    <m/>
    <m/>
    <s v="Pendente"/>
    <d v="2026-03-21T00:00:00"/>
    <x v="2"/>
  </r>
  <r>
    <d v="2026-03-12T00:00:00"/>
    <d v="2026-03-15T00:00:00"/>
    <d v="2026-03-18T00:00:00"/>
    <s v="AMANDA DA CRUZ SALES"/>
    <x v="1"/>
    <s v="John"/>
    <s v="M"/>
    <m/>
    <m/>
    <s v="Pendente"/>
    <d v="2026-03-21T00:00:00"/>
    <x v="2"/>
  </r>
  <r>
    <d v="2026-03-12T00:00:00"/>
    <d v="2026-03-15T00:00:00"/>
    <d v="2026-03-18T00:00:00"/>
    <s v="RONE RODRIGUES DA SILVA"/>
    <x v="2"/>
    <s v="Leticia"/>
    <s v="F"/>
    <m/>
    <m/>
    <s v="Pendente"/>
    <d v="2026-03-21T00:00:00"/>
    <x v="2"/>
  </r>
  <r>
    <d v="2026-03-13T00:00:00"/>
    <d v="2026-03-16T00:00:00"/>
    <d v="2026-03-19T00:00:00"/>
    <s v="ADRIANO DE OLIVEIRA GOMES"/>
    <x v="1"/>
    <s v="John"/>
    <s v="M"/>
    <m/>
    <m/>
    <s v="Pendente"/>
    <d v="2026-03-22T00:00:00"/>
    <x v="2"/>
  </r>
  <r>
    <d v="2026-03-13T00:00:00"/>
    <d v="2026-03-16T00:00:00"/>
    <d v="2026-03-19T00:00:00"/>
    <s v="BRUNO ALBERO DE REZENDE"/>
    <x v="1"/>
    <s v="Myrelle"/>
    <s v="F"/>
    <m/>
    <m/>
    <s v="Pendente"/>
    <d v="2026-03-22T00:00:00"/>
    <x v="2"/>
  </r>
  <r>
    <d v="2026-03-13T00:00:00"/>
    <d v="2026-03-16T00:00:00"/>
    <d v="2026-03-19T00:00:00"/>
    <s v="VALDO RIBEIRO"/>
    <x v="1"/>
    <s v="Jacqueline"/>
    <s v="F"/>
    <m/>
    <m/>
    <s v="Pendente"/>
    <d v="2026-03-22T00:00:00"/>
    <x v="2"/>
  </r>
  <r>
    <d v="2026-03-13T00:00:00"/>
    <d v="2026-03-16T00:00:00"/>
    <d v="2026-03-19T00:00:00"/>
    <s v="VIVIANE SILVA DOS SANTOS"/>
    <x v="2"/>
    <s v="Jacqueline"/>
    <s v="F"/>
    <m/>
    <m/>
    <s v="Pendente"/>
    <d v="2026-03-22T00:00:00"/>
    <x v="2"/>
  </r>
  <r>
    <d v="2026-03-13T00:00:00"/>
    <d v="2026-03-16T00:00:00"/>
    <d v="2026-03-19T00:00:00"/>
    <s v="MILENE MARIA DA CONCEICAO"/>
    <x v="0"/>
    <s v="Jacqueline"/>
    <s v="F"/>
    <m/>
    <m/>
    <s v="Pendente"/>
    <d v="2026-03-22T00:00:00"/>
    <x v="2"/>
  </r>
  <r>
    <d v="2026-03-13T00:00:00"/>
    <d v="2026-03-16T00:00:00"/>
    <d v="2026-03-19T00:00:00"/>
    <s v="JURANDIR JOAO DA SILVA"/>
    <x v="0"/>
    <s v="Enzo"/>
    <m/>
    <m/>
    <m/>
    <s v="Pendente"/>
    <d v="2026-03-22T00:00:00"/>
    <x v="2"/>
  </r>
  <r>
    <d v="2026-03-13T00:00:00"/>
    <d v="2026-03-16T00:00:00"/>
    <d v="2026-03-19T00:00:00"/>
    <s v="DANIEL BISPO DOS SANTOS"/>
    <x v="1"/>
    <s v="Enzo"/>
    <m/>
    <m/>
    <m/>
    <s v="Pendente"/>
    <d v="2026-03-22T00:00:00"/>
    <x v="2"/>
  </r>
  <r>
    <d v="2026-03-13T00:00:00"/>
    <d v="2026-03-16T00:00:00"/>
    <d v="2026-03-19T00:00:00"/>
    <s v="IZAQUIEL COSTA DA SILVA"/>
    <x v="0"/>
    <s v="Jacqueline"/>
    <s v="F"/>
    <m/>
    <m/>
    <s v="Pendente"/>
    <d v="2026-03-22T00:00:00"/>
    <x v="2"/>
  </r>
  <r>
    <d v="2026-03-13T00:00:00"/>
    <d v="2026-03-16T00:00:00"/>
    <d v="2026-03-19T00:00:00"/>
    <s v="ISLOM JANUARIO ASSUNCAO"/>
    <x v="2"/>
    <s v="John"/>
    <s v="M"/>
    <m/>
    <m/>
    <s v="Pendente"/>
    <d v="2026-03-22T00:00:00"/>
    <x v="2"/>
  </r>
  <r>
    <d v="2026-03-13T00:00:00"/>
    <d v="2026-03-16T00:00:00"/>
    <d v="2026-03-19T00:00:00"/>
    <s v="ROGERIO TAKESHI SATO"/>
    <x v="1"/>
    <s v="John"/>
    <s v="M"/>
    <m/>
    <m/>
    <s v="Pendente"/>
    <d v="2026-03-22T00:00:00"/>
    <x v="2"/>
  </r>
  <r>
    <d v="2026-03-13T00:00:00"/>
    <d v="2026-03-16T00:00:00"/>
    <d v="2026-03-19T00:00:00"/>
    <s v="OSIRIS AUGUSTO PASSARELLI DE MORAES"/>
    <x v="9"/>
    <s v="Enzo"/>
    <m/>
    <m/>
    <m/>
    <s v="Pendente"/>
    <d v="2026-03-22T00:00:00"/>
    <x v="2"/>
  </r>
  <r>
    <d v="2026-03-13T00:00:00"/>
    <d v="2026-03-16T00:00:00"/>
    <d v="2026-03-19T00:00:00"/>
    <s v="PATRICIA SILVA DE BRITO"/>
    <x v="0"/>
    <s v="Enzo"/>
    <m/>
    <m/>
    <m/>
    <s v="Pendente"/>
    <d v="2026-03-22T00:00:00"/>
    <x v="2"/>
  </r>
  <r>
    <d v="2026-03-13T00:00:00"/>
    <d v="2026-03-16T00:00:00"/>
    <d v="2026-03-19T00:00:00"/>
    <s v="TANIA REGINA SANTORSULA"/>
    <x v="0"/>
    <s v="Jacqueline"/>
    <s v="F"/>
    <m/>
    <m/>
    <s v="Pendente"/>
    <d v="2026-03-22T00:00:00"/>
    <x v="2"/>
  </r>
  <r>
    <d v="2026-03-16T00:00:00"/>
    <d v="2026-03-19T00:00:00"/>
    <d v="2026-03-22T00:00:00"/>
    <s v="NADJA SILVA DOS SANTOS ANTONIETTI"/>
    <x v="3"/>
    <s v="Jéssica"/>
    <s v="F"/>
    <m/>
    <m/>
    <s v="Pendente"/>
    <d v="2026-03-25T00:00:00"/>
    <x v="2"/>
  </r>
  <r>
    <d v="2026-03-16T00:00:00"/>
    <d v="2026-03-19T00:00:00"/>
    <d v="2026-03-22T00:00:00"/>
    <s v="RONALDO BARRERO"/>
    <x v="0"/>
    <s v="Leticia"/>
    <s v="F"/>
    <m/>
    <m/>
    <s v="Pendente"/>
    <d v="2026-03-25T00:00:00"/>
    <x v="2"/>
  </r>
  <r>
    <d v="2026-03-16T00:00:00"/>
    <d v="2026-03-19T00:00:00"/>
    <d v="2026-03-22T00:00:00"/>
    <s v="HEBER FERREIRA NUNES"/>
    <x v="0"/>
    <s v="John"/>
    <s v="M"/>
    <m/>
    <m/>
    <s v="Pendente"/>
    <d v="2026-03-25T00:00:00"/>
    <x v="2"/>
  </r>
  <r>
    <d v="2026-03-17T00:00:00"/>
    <d v="2026-03-20T00:00:00"/>
    <d v="2026-03-23T00:00:00"/>
    <s v="NICOLLY ALVES PEREIRA"/>
    <x v="3"/>
    <s v="Myrelle"/>
    <s v="F"/>
    <m/>
    <m/>
    <s v="Pendente"/>
    <d v="2026-03-26T00:00:00"/>
    <x v="2"/>
  </r>
  <r>
    <d v="2026-03-17T00:00:00"/>
    <d v="2026-03-20T00:00:00"/>
    <d v="2026-03-23T00:00:00"/>
    <s v="FABBIO TARSITANO"/>
    <x v="1"/>
    <s v="John"/>
    <s v="M"/>
    <m/>
    <m/>
    <s v="Pendente"/>
    <d v="2026-03-26T00:00:00"/>
    <x v="2"/>
  </r>
  <r>
    <d v="2026-03-17T00:00:00"/>
    <d v="2026-03-20T00:00:00"/>
    <d v="2026-03-23T00:00:00"/>
    <s v="ANTONIO SOARES DOS SANTOS FILHO"/>
    <x v="2"/>
    <s v="John"/>
    <s v="M"/>
    <m/>
    <m/>
    <s v="Pendente"/>
    <d v="2026-03-26T00:00:00"/>
    <x v="2"/>
  </r>
  <r>
    <d v="2026-03-17T00:00:00"/>
    <d v="2026-03-20T00:00:00"/>
    <d v="2026-03-23T00:00:00"/>
    <s v="WILTON DE FATIMA SOUZA"/>
    <x v="1"/>
    <s v="John"/>
    <s v="M"/>
    <m/>
    <m/>
    <s v="Pendente"/>
    <d v="2026-03-26T00:00:00"/>
    <x v="2"/>
  </r>
  <r>
    <d v="2026-03-17T00:00:00"/>
    <d v="2026-03-20T00:00:00"/>
    <d v="2026-03-23T00:00:00"/>
    <s v="BRUNO DIAS GOMES"/>
    <x v="2"/>
    <s v="John"/>
    <s v="M"/>
    <m/>
    <m/>
    <s v="Pendente"/>
    <d v="2026-03-26T00:00:00"/>
    <x v="2"/>
  </r>
  <r>
    <d v="2026-03-17T00:00:00"/>
    <d v="2026-03-20T00:00:00"/>
    <d v="2026-03-23T00:00:00"/>
    <s v="FRANCISCO SILVA PIRES"/>
    <x v="9"/>
    <s v="Jacqueline"/>
    <s v="F"/>
    <m/>
    <m/>
    <s v="Pendente"/>
    <d v="2026-03-26T00:00:00"/>
    <x v="2"/>
  </r>
  <r>
    <d v="2026-03-17T00:00:00"/>
    <d v="2026-03-20T00:00:00"/>
    <d v="2026-03-23T00:00:00"/>
    <s v="JANE SOUSA FRANCA"/>
    <x v="0"/>
    <s v="Leticia"/>
    <s v="F"/>
    <m/>
    <m/>
    <s v="Pendente"/>
    <d v="2026-03-26T00:00:00"/>
    <x v="2"/>
  </r>
  <r>
    <d v="2026-03-17T00:00:00"/>
    <d v="2026-03-20T00:00:00"/>
    <d v="2026-03-23T00:00:00"/>
    <s v="ROGIMAR BRITO NERE"/>
    <x v="0"/>
    <s v="Leticia"/>
    <s v="F"/>
    <m/>
    <m/>
    <s v="Pendente"/>
    <d v="2026-03-26T00:00:00"/>
    <x v="2"/>
  </r>
  <r>
    <d v="2026-03-17T00:00:00"/>
    <d v="2026-03-20T00:00:00"/>
    <d v="2026-03-23T00:00:00"/>
    <s v="CLAUDIA APARECIDA FERREIRA DE CARVALHO"/>
    <x v="1"/>
    <s v="John"/>
    <s v="M"/>
    <m/>
    <m/>
    <s v="Pendente"/>
    <d v="2026-03-26T00:00:00"/>
    <x v="2"/>
  </r>
  <r>
    <d v="2026-03-17T00:00:00"/>
    <d v="2026-03-20T00:00:00"/>
    <d v="2026-03-23T00:00:00"/>
    <s v="VAGNER CORDEIRO LAURENTINO"/>
    <x v="1"/>
    <s v="Enzo"/>
    <m/>
    <m/>
    <m/>
    <s v="Pendente"/>
    <d v="2026-03-26T00:00:00"/>
    <x v="2"/>
  </r>
  <r>
    <d v="2026-03-17T00:00:00"/>
    <d v="2026-03-20T00:00:00"/>
    <d v="2026-03-23T00:00:00"/>
    <s v="FRANCISCO GOMES DE ALENCAR"/>
    <x v="0"/>
    <s v="Enzo"/>
    <m/>
    <m/>
    <m/>
    <s v="Pendente"/>
    <d v="2026-03-26T00:00:00"/>
    <x v="2"/>
  </r>
  <r>
    <d v="2026-03-17T00:00:00"/>
    <d v="2026-03-20T00:00:00"/>
    <d v="2026-03-23T00:00:00"/>
    <s v="MARCOS ROBERTO BAPTISTA"/>
    <x v="0"/>
    <s v="Jacqueline"/>
    <s v="F"/>
    <m/>
    <m/>
    <s v="Pendente"/>
    <d v="2026-03-26T00:00:00"/>
    <x v="2"/>
  </r>
  <r>
    <d v="2026-03-17T00:00:00"/>
    <d v="2026-03-20T00:00:00"/>
    <d v="2026-03-23T00:00:00"/>
    <s v="CLAUDIA AMORIM DE CASTRO E SILVA"/>
    <x v="3"/>
    <s v="Jacqueline"/>
    <s v="F"/>
    <m/>
    <m/>
    <s v="Pendente"/>
    <d v="2026-03-26T00:00:00"/>
    <x v="2"/>
  </r>
  <r>
    <d v="2026-03-18T00:00:00"/>
    <d v="2026-03-21T00:00:00"/>
    <d v="2026-03-24T00:00:00"/>
    <s v="DANIEL SANCHES"/>
    <x v="3"/>
    <s v="Leticia"/>
    <s v="F"/>
    <m/>
    <m/>
    <s v="Pendente"/>
    <d v="2026-03-27T00:00:00"/>
    <x v="2"/>
  </r>
  <r>
    <d v="2026-03-18T00:00:00"/>
    <d v="2026-03-21T00:00:00"/>
    <d v="2026-03-24T00:00:00"/>
    <s v="MARINA SANTOS VIANA ARAUJO"/>
    <x v="2"/>
    <s v="John"/>
    <s v="M"/>
    <m/>
    <m/>
    <s v="Pendente"/>
    <d v="2026-03-27T00:00:00"/>
    <x v="2"/>
  </r>
  <r>
    <d v="2026-03-18T00:00:00"/>
    <d v="2026-03-21T00:00:00"/>
    <d v="2026-03-24T00:00:00"/>
    <s v="ALINE FERRAZ DOS SANTOS"/>
    <x v="5"/>
    <s v="John"/>
    <s v="M"/>
    <m/>
    <m/>
    <s v="Pendente"/>
    <d v="2026-03-27T00:00:00"/>
    <x v="2"/>
  </r>
  <r>
    <d v="2026-03-18T00:00:00"/>
    <d v="2026-03-21T00:00:00"/>
    <d v="2026-03-24T00:00:00"/>
    <s v="EDILSON CHAVES DOS REIS"/>
    <x v="0"/>
    <s v="Myrelle"/>
    <s v="F"/>
    <m/>
    <m/>
    <s v="Pendente"/>
    <d v="2026-03-27T00:00:00"/>
    <x v="2"/>
  </r>
  <r>
    <d v="2026-03-18T00:00:00"/>
    <d v="2026-03-21T00:00:00"/>
    <d v="2026-03-24T00:00:00"/>
    <s v="APARECIDO THEODORO"/>
    <x v="0"/>
    <s v="Jacqueline"/>
    <s v="F"/>
    <m/>
    <m/>
    <s v="Pendente"/>
    <d v="2026-03-27T00:00:00"/>
    <x v="2"/>
  </r>
  <r>
    <d v="2026-03-18T00:00:00"/>
    <d v="2026-03-21T00:00:00"/>
    <d v="2026-03-24T00:00:00"/>
    <s v="FABIANA PEREIRA DOS SANTOS"/>
    <x v="0"/>
    <s v="John"/>
    <s v="M"/>
    <m/>
    <m/>
    <s v="Pendente"/>
    <d v="2026-03-27T00:00:00"/>
    <x v="2"/>
  </r>
  <r>
    <d v="2026-03-18T00:00:00"/>
    <d v="2026-03-21T00:00:00"/>
    <d v="2026-03-24T00:00:00"/>
    <s v="GILVAN PURISSIMO DA SILVA"/>
    <x v="4"/>
    <s v="Jacqueline"/>
    <s v="F"/>
    <m/>
    <m/>
    <s v="Pendente"/>
    <d v="2026-03-27T00:00:00"/>
    <x v="2"/>
  </r>
  <r>
    <d v="2026-03-18T00:00:00"/>
    <d v="2026-03-21T00:00:00"/>
    <d v="2026-03-24T00:00:00"/>
    <s v="OSVALDO APARECIDO ROMAO"/>
    <x v="0"/>
    <s v="John"/>
    <s v="M"/>
    <m/>
    <m/>
    <s v="Pendente"/>
    <d v="2026-03-27T00:00:00"/>
    <x v="2"/>
  </r>
  <r>
    <d v="2026-03-18T00:00:00"/>
    <d v="2026-03-21T00:00:00"/>
    <d v="2026-03-24T00:00:00"/>
    <s v="GABRIEL FELIPE GONCALVES"/>
    <x v="2"/>
    <s v="John"/>
    <s v="M"/>
    <m/>
    <m/>
    <s v="Pendente"/>
    <d v="2026-03-27T00:00:00"/>
    <x v="2"/>
  </r>
  <r>
    <d v="2026-03-18T00:00:00"/>
    <d v="2026-03-21T00:00:00"/>
    <d v="2026-03-24T00:00:00"/>
    <s v="VANDERLEI BARBOSA DE OLIVEIRA"/>
    <x v="3"/>
    <s v="John"/>
    <s v="M"/>
    <m/>
    <m/>
    <s v="Pendente"/>
    <d v="2026-03-27T00:00:00"/>
    <x v="2"/>
  </r>
  <r>
    <d v="2026-03-19T00:00:00"/>
    <d v="2026-03-22T00:00:00"/>
    <d v="2026-03-25T00:00:00"/>
    <s v="JOSE ROGERIO DOS SANTOS"/>
    <x v="0"/>
    <s v="Myrelle"/>
    <s v="F"/>
    <m/>
    <m/>
    <s v="Pendente"/>
    <d v="2026-03-28T00:00:00"/>
    <x v="2"/>
  </r>
  <r>
    <d v="2026-03-19T00:00:00"/>
    <d v="2026-03-22T00:00:00"/>
    <d v="2026-03-25T00:00:00"/>
    <s v="AURENI PEREIRA DE SOUZA"/>
    <x v="3"/>
    <s v="John"/>
    <s v="M"/>
    <m/>
    <m/>
    <s v="Pendente"/>
    <d v="2026-03-28T00:00:00"/>
    <x v="2"/>
  </r>
  <r>
    <d v="2026-03-19T00:00:00"/>
    <d v="2026-03-22T00:00:00"/>
    <d v="2026-03-25T00:00:00"/>
    <s v="AURENI PEREIRA DE SOUZA"/>
    <x v="3"/>
    <s v="John"/>
    <s v="M"/>
    <m/>
    <m/>
    <s v="Pendente"/>
    <d v="2026-03-28T00:00:00"/>
    <x v="2"/>
  </r>
  <r>
    <d v="2026-03-19T00:00:00"/>
    <d v="2026-03-22T00:00:00"/>
    <d v="2026-03-25T00:00:00"/>
    <s v="LARISSA CRISTINA ROCHA DA SILVA"/>
    <x v="3"/>
    <s v="John"/>
    <s v="M"/>
    <m/>
    <m/>
    <s v="Pendente"/>
    <d v="2026-03-28T00:00:00"/>
    <x v="2"/>
  </r>
  <r>
    <d v="2026-03-19T00:00:00"/>
    <d v="2026-03-22T00:00:00"/>
    <d v="2026-03-25T00:00:00"/>
    <s v="IVETE HENRIQUE"/>
    <x v="0"/>
    <s v="John"/>
    <s v="M"/>
    <m/>
    <m/>
    <s v="Pendente"/>
    <d v="2026-03-28T00:00:00"/>
    <x v="2"/>
  </r>
  <r>
    <d v="2026-03-19T00:00:00"/>
    <d v="2026-03-22T00:00:00"/>
    <d v="2026-03-25T00:00:00"/>
    <s v="JOSE LEANDRO OLIVEIRA DA SILVA"/>
    <x v="0"/>
    <s v="Enzo"/>
    <m/>
    <m/>
    <m/>
    <s v="Pendente"/>
    <d v="2026-03-28T00:00:00"/>
    <x v="2"/>
  </r>
  <r>
    <d v="2026-03-19T00:00:00"/>
    <d v="2026-03-22T00:00:00"/>
    <d v="2026-03-25T00:00:00"/>
    <s v="ADAO APOLONIO DA SILVA"/>
    <x v="1"/>
    <s v="Enzo"/>
    <m/>
    <m/>
    <m/>
    <s v="Pendente"/>
    <d v="2026-03-28T00:00:00"/>
    <x v="2"/>
  </r>
  <r>
    <d v="2026-03-19T00:00:00"/>
    <d v="2026-03-22T00:00:00"/>
    <d v="2026-03-25T00:00:00"/>
    <s v="THAIS ANDREZA RODRIGUES DA"/>
    <x v="4"/>
    <s v="Jacqueline"/>
    <s v="F"/>
    <m/>
    <m/>
    <s v="Pendente"/>
    <d v="2026-03-28T00:00:00"/>
    <x v="2"/>
  </r>
  <r>
    <d v="2026-03-19T00:00:00"/>
    <d v="2026-03-22T00:00:00"/>
    <d v="2026-03-25T00:00:00"/>
    <s v="HUDSON OSVALDO DA SILVA CORTIZ"/>
    <x v="1"/>
    <s v="Jéssica"/>
    <s v="F"/>
    <m/>
    <m/>
    <s v="Pendente"/>
    <d v="2026-03-28T00:00:00"/>
    <x v="2"/>
  </r>
  <r>
    <d v="2026-03-19T00:00:00"/>
    <d v="2026-03-22T00:00:00"/>
    <d v="2026-03-25T00:00:00"/>
    <s v="MARCIO ALESSANDRO ALVES"/>
    <x v="1"/>
    <s v="Jéssica"/>
    <s v="F"/>
    <m/>
    <m/>
    <s v="Pendente"/>
    <d v="2026-03-28T00:00:00"/>
    <x v="2"/>
  </r>
  <r>
    <d v="2026-03-19T00:00:00"/>
    <d v="2026-03-22T00:00:00"/>
    <d v="2026-03-25T00:00:00"/>
    <s v="PEDRO PAULO DA SILVA"/>
    <x v="0"/>
    <s v="John"/>
    <s v="M"/>
    <m/>
    <m/>
    <s v="Pendente"/>
    <d v="2026-03-28T00:00:00"/>
    <x v="2"/>
  </r>
  <r>
    <d v="2026-03-19T00:00:00"/>
    <d v="2026-03-22T00:00:00"/>
    <d v="2026-03-25T00:00:00"/>
    <s v="KAIQUE LOPES DE OLIVEIRA"/>
    <x v="1"/>
    <s v="Jacqueline"/>
    <s v="F"/>
    <m/>
    <m/>
    <s v="Pendente"/>
    <d v="2026-03-28T00:00:00"/>
    <x v="2"/>
  </r>
  <r>
    <d v="2026-03-19T00:00:00"/>
    <d v="2026-03-22T00:00:00"/>
    <d v="2026-03-25T00:00:00"/>
    <s v="EDMILSON DE ARAUJO SILVA"/>
    <x v="0"/>
    <s v="Jacqueline"/>
    <s v="F"/>
    <m/>
    <m/>
    <s v="Pendente"/>
    <d v="2026-03-28T00:00:00"/>
    <x v="2"/>
  </r>
  <r>
    <d v="2026-03-19T00:00:00"/>
    <d v="2026-03-22T00:00:00"/>
    <d v="2026-03-25T00:00:00"/>
    <s v="DIEGO DE OLIVEIRA SANTOS"/>
    <x v="2"/>
    <s v="Leticia"/>
    <s v="F"/>
    <m/>
    <m/>
    <s v="Pendente"/>
    <d v="2026-03-28T00:00:00"/>
    <x v="2"/>
  </r>
  <r>
    <d v="2026-03-20T00:00:00"/>
    <d v="2026-03-23T00:00:00"/>
    <d v="2026-03-26T00:00:00"/>
    <s v="ANTONIO SERGIO DOS SANTOS BENTO"/>
    <x v="1"/>
    <s v="Myrelle"/>
    <s v="F"/>
    <m/>
    <m/>
    <s v="Pendente"/>
    <d v="2026-03-29T00:00:00"/>
    <x v="2"/>
  </r>
  <r>
    <d v="2026-03-20T00:00:00"/>
    <d v="2026-03-23T00:00:00"/>
    <d v="2026-03-26T00:00:00"/>
    <s v="UPPER TOUR LTDA"/>
    <x v="3"/>
    <s v="John"/>
    <s v="M"/>
    <m/>
    <m/>
    <s v="Pendente"/>
    <d v="2026-03-29T00:00:00"/>
    <x v="2"/>
  </r>
  <r>
    <d v="2026-03-20T00:00:00"/>
    <d v="2026-03-23T00:00:00"/>
    <d v="2026-03-26T00:00:00"/>
    <s v="RODRIGO FERREIRA DE SOUZA"/>
    <x v="10"/>
    <s v="John"/>
    <s v="M"/>
    <m/>
    <m/>
    <s v="Pendente"/>
    <d v="2026-03-29T00:00:00"/>
    <x v="2"/>
  </r>
  <r>
    <d v="2026-03-20T00:00:00"/>
    <d v="2026-03-23T00:00:00"/>
    <d v="2026-03-26T00:00:00"/>
    <s v="REGINALDO DE CAMPOS MARIA"/>
    <x v="2"/>
    <s v="John"/>
    <s v="M"/>
    <m/>
    <m/>
    <s v="Pendente"/>
    <d v="2026-03-29T00:00:00"/>
    <x v="2"/>
  </r>
  <r>
    <d v="2026-03-20T00:00:00"/>
    <d v="2026-03-23T00:00:00"/>
    <d v="2026-03-26T00:00:00"/>
    <s v="TIAGO DA SILVA COSTA"/>
    <x v="0"/>
    <s v="Enzo"/>
    <m/>
    <m/>
    <m/>
    <s v="Pendente"/>
    <d v="2026-03-29T00:00:00"/>
    <x v="2"/>
  </r>
  <r>
    <d v="2026-03-20T00:00:00"/>
    <d v="2026-03-23T00:00:00"/>
    <d v="2026-03-26T00:00:00"/>
    <s v="EDUARDO LUIS OLIBONI BASTOS"/>
    <x v="3"/>
    <s v="John"/>
    <s v="M"/>
    <m/>
    <m/>
    <s v="Pendente"/>
    <d v="2026-03-29T00:00:00"/>
    <x v="2"/>
  </r>
  <r>
    <d v="2026-03-20T00:00:00"/>
    <d v="2026-03-23T00:00:00"/>
    <d v="2026-03-26T00:00:00"/>
    <s v="ARIELA CRISTINA OHAMA BENTO"/>
    <x v="0"/>
    <s v="Myrelle"/>
    <s v="F"/>
    <m/>
    <m/>
    <s v="Pendente"/>
    <d v="2026-03-29T00:00:00"/>
    <x v="2"/>
  </r>
  <r>
    <d v="2026-03-20T00:00:00"/>
    <d v="2026-03-23T00:00:00"/>
    <d v="2026-03-26T00:00:00"/>
    <s v="JAIR CALLERO DE LIMA"/>
    <x v="0"/>
    <s v="Leticia"/>
    <s v="F"/>
    <m/>
    <m/>
    <s v="Pendente"/>
    <d v="2026-03-29T00:00:00"/>
    <x v="2"/>
  </r>
  <r>
    <d v="2026-03-20T00:00:00"/>
    <d v="2026-03-23T00:00:00"/>
    <d v="2026-03-26T00:00:00"/>
    <s v="LEOMAR DE JESUS LIMA"/>
    <x v="0"/>
    <s v="Leticia"/>
    <s v="F"/>
    <m/>
    <m/>
    <s v="Pendente"/>
    <d v="2026-03-29T00:00:00"/>
    <x v="2"/>
  </r>
  <r>
    <d v="2026-03-20T00:00:00"/>
    <d v="2026-03-23T00:00:00"/>
    <d v="2026-03-26T00:00:00"/>
    <s v="JAIR RODRIGUES ALVES"/>
    <x v="3"/>
    <s v="John"/>
    <s v="M"/>
    <m/>
    <m/>
    <s v="Pendente"/>
    <d v="2026-03-29T00:00:00"/>
    <x v="2"/>
  </r>
  <r>
    <d v="2026-03-20T00:00:00"/>
    <d v="2026-03-23T00:00:00"/>
    <d v="2026-03-26T00:00:00"/>
    <s v="MARCELA APARECIDA FERREIRA"/>
    <x v="2"/>
    <s v="Jacqueline"/>
    <s v="F"/>
    <m/>
    <m/>
    <s v="Pendente"/>
    <d v="2026-03-29T00:00:00"/>
    <x v="2"/>
  </r>
  <r>
    <d v="2026-03-20T00:00:00"/>
    <d v="2026-03-23T00:00:00"/>
    <d v="2026-03-26T00:00:00"/>
    <s v="BRASILIANO DIONIZIO DE MORAIS NETO"/>
    <x v="1"/>
    <s v="Leticia"/>
    <s v="F"/>
    <m/>
    <m/>
    <s v="Pendente"/>
    <d v="2026-03-29T00:00:00"/>
    <x v="2"/>
  </r>
  <r>
    <d v="2026-03-23T00:00:00"/>
    <d v="2026-03-26T00:00:00"/>
    <d v="2026-03-29T00:00:00"/>
    <s v="DANIELLE FERREIRA CRUZ SILVA"/>
    <x v="1"/>
    <s v="Leticia"/>
    <s v="F"/>
    <m/>
    <m/>
    <s v="Pendente"/>
    <d v="2026-04-01T00:00:00"/>
    <x v="2"/>
  </r>
  <r>
    <d v="2026-03-23T00:00:00"/>
    <d v="2026-03-26T00:00:00"/>
    <d v="2026-03-29T00:00:00"/>
    <s v="FATIMA CARVALHO ANTONIO"/>
    <x v="5"/>
    <s v="John"/>
    <s v="M"/>
    <m/>
    <m/>
    <s v="Pendente"/>
    <d v="2026-04-01T00:00:00"/>
    <x v="2"/>
  </r>
  <r>
    <d v="2026-03-23T00:00:00"/>
    <d v="2026-03-26T00:00:00"/>
    <d v="2026-03-29T00:00:00"/>
    <s v="AILTON BENJAMIM DA PAIXAO"/>
    <x v="0"/>
    <s v="Jacqueline"/>
    <s v="F"/>
    <m/>
    <m/>
    <s v="Pendente"/>
    <d v="2026-04-01T00:00:00"/>
    <x v="2"/>
  </r>
  <r>
    <d v="2026-03-24T00:00:00"/>
    <d v="2026-03-27T00:00:00"/>
    <d v="2026-03-30T00:00:00"/>
    <s v="ALESSANDRO PEREIRA DOS SANTOS"/>
    <x v="0"/>
    <s v="Jacqueline"/>
    <s v="F"/>
    <m/>
    <m/>
    <s v="Pendente"/>
    <d v="2026-04-02T00:00:00"/>
    <x v="2"/>
  </r>
  <r>
    <d v="2026-03-24T00:00:00"/>
    <d v="2026-03-27T00:00:00"/>
    <d v="2026-03-30T00:00:00"/>
    <s v="ANA PAULA CHRISTE ROSCHEL"/>
    <x v="0"/>
    <s v="John"/>
    <s v="M"/>
    <m/>
    <m/>
    <s v="Pendente"/>
    <d v="2026-04-02T00:00:00"/>
    <x v="2"/>
  </r>
  <r>
    <d v="2026-03-25T00:00:00"/>
    <d v="2026-03-28T00:00:00"/>
    <d v="2026-03-31T00:00:00"/>
    <s v="EVERTON ROCHA DE OLIVEIRA"/>
    <x v="1"/>
    <s v="Jéssica"/>
    <s v="F"/>
    <m/>
    <m/>
    <s v="Pendente"/>
    <d v="2026-04-03T00:00:00"/>
    <x v="2"/>
  </r>
  <r>
    <d v="2026-03-25T00:00:00"/>
    <d v="2026-03-28T00:00:00"/>
    <d v="2026-03-31T00:00:00"/>
    <s v="ANTONIO PEREIRA FERREIRA"/>
    <x v="0"/>
    <s v="Isabella"/>
    <s v="F"/>
    <m/>
    <m/>
    <s v="Pendente"/>
    <d v="2026-04-03T00:00:00"/>
    <x v="2"/>
  </r>
  <r>
    <d v="2026-03-25T00:00:00"/>
    <d v="2026-03-28T00:00:00"/>
    <d v="2026-03-31T00:00:00"/>
    <s v="DANIEL APARECIDO DE LIMA PERPETUO"/>
    <x v="2"/>
    <s v="Isabella"/>
    <s v="F"/>
    <m/>
    <m/>
    <s v="Pendente"/>
    <d v="2026-04-03T00:00:00"/>
    <x v="2"/>
  </r>
  <r>
    <d v="2026-03-25T00:00:00"/>
    <d v="2026-03-28T00:00:00"/>
    <d v="2026-03-31T00:00:00"/>
    <s v="JOSE ACACIO BRITO DE ARAUJO"/>
    <x v="2"/>
    <s v="Isabella"/>
    <s v="F"/>
    <m/>
    <m/>
    <s v="Pendente"/>
    <d v="2026-04-03T00:00:00"/>
    <x v="2"/>
  </r>
  <r>
    <d v="2026-03-25T00:00:00"/>
    <d v="2026-03-28T00:00:00"/>
    <d v="2026-03-31T00:00:00"/>
    <s v="TATIANE OLIVEIRA RODRIGUES SILVA"/>
    <x v="2"/>
    <s v="John"/>
    <s v="M"/>
    <m/>
    <m/>
    <s v="Pendente"/>
    <d v="2026-04-03T00:00:00"/>
    <x v="2"/>
  </r>
  <r>
    <d v="2026-03-25T00:00:00"/>
    <d v="2026-03-28T00:00:00"/>
    <d v="2026-03-31T00:00:00"/>
    <s v="PAULO BATISTA DA SILVA"/>
    <x v="3"/>
    <s v="John"/>
    <s v="M"/>
    <m/>
    <m/>
    <s v="Pendente"/>
    <d v="2026-04-03T00:00:00"/>
    <x v="2"/>
  </r>
  <r>
    <d v="2026-03-25T00:00:00"/>
    <d v="2026-03-28T00:00:00"/>
    <d v="2026-03-31T00:00:00"/>
    <s v="CARLOS ANTONIO PEREIRA"/>
    <x v="5"/>
    <s v="John"/>
    <s v="M"/>
    <m/>
    <m/>
    <s v="Pendente"/>
    <d v="2026-04-03T00:00:00"/>
    <x v="2"/>
  </r>
  <r>
    <d v="2026-03-25T00:00:00"/>
    <d v="2026-03-28T00:00:00"/>
    <d v="2026-03-31T00:00:00"/>
    <s v="VANIA MARIA DA SILVA AMARO VARELA"/>
    <x v="0"/>
    <s v="Enzo"/>
    <m/>
    <m/>
    <m/>
    <s v="Pendente"/>
    <d v="2026-04-03T00:00:00"/>
    <x v="2"/>
  </r>
  <r>
    <d v="2026-03-25T00:00:00"/>
    <d v="2026-03-28T00:00:00"/>
    <d v="2026-03-31T00:00:00"/>
    <s v="ROGERIO DE SOUZA RODRIGUES"/>
    <x v="1"/>
    <s v="Jacqueline"/>
    <s v="F"/>
    <m/>
    <m/>
    <s v="Pendente"/>
    <d v="2026-04-03T00:00:00"/>
    <x v="2"/>
  </r>
  <r>
    <d v="2026-03-26T00:00:00"/>
    <d v="2026-03-29T00:00:00"/>
    <d v="2026-04-01T00:00:00"/>
    <s v="FERNANDO DANTAS DA SILVA"/>
    <x v="3"/>
    <s v="Jacqueline"/>
    <s v="F"/>
    <m/>
    <m/>
    <s v="Pendente"/>
    <d v="2026-04-04T00:00:00"/>
    <x v="2"/>
  </r>
  <r>
    <d v="2026-03-26T00:00:00"/>
    <d v="2026-03-29T00:00:00"/>
    <d v="2026-04-01T00:00:00"/>
    <s v="VESPASIANO GOMES DE SA"/>
    <x v="0"/>
    <s v="Letici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LOCADORA DE MOTOS MOTOPRAJA LTDA"/>
    <x v="1"/>
    <s v="Isabella"/>
    <s v="F"/>
    <m/>
    <m/>
    <s v="Pendente"/>
    <d v="2026-04-04T00:00:00"/>
    <x v="2"/>
  </r>
  <r>
    <d v="2026-03-26T00:00:00"/>
    <d v="2026-03-29T00:00:00"/>
    <d v="2026-04-01T00:00:00"/>
    <s v="RICARDO FREIRE DE SANTANA"/>
    <x v="0"/>
    <s v="Jacqueline"/>
    <s v="F"/>
    <m/>
    <m/>
    <s v="Pendente"/>
    <d v="2026-04-04T00:00:00"/>
    <x v="2"/>
  </r>
  <r>
    <d v="2026-03-26T00:00:00"/>
    <d v="2026-03-29T00:00:00"/>
    <d v="2026-04-01T00:00:00"/>
    <s v="ADRIANNE BUGATTI OROSCO"/>
    <x v="0"/>
    <s v="Jacqueline"/>
    <s v="F"/>
    <m/>
    <m/>
    <s v="Pendente"/>
    <d v="2026-04-04T00:00:00"/>
    <x v="2"/>
  </r>
  <r>
    <d v="2026-03-26T00:00:00"/>
    <d v="2026-03-29T00:00:00"/>
    <d v="2026-04-01T00:00:00"/>
    <s v="ITAMAR ROCHA DOS SANTOS"/>
    <x v="2"/>
    <s v="Jéssica"/>
    <s v="F"/>
    <m/>
    <m/>
    <s v="Pendente"/>
    <d v="2026-04-04T00:00:00"/>
    <x v="2"/>
  </r>
  <r>
    <d v="2026-03-26T00:00:00"/>
    <d v="2026-03-29T00:00:00"/>
    <d v="2026-04-01T00:00:00"/>
    <s v="RENADIA DE ASSUNCAO LOPES"/>
    <x v="0"/>
    <s v="Leticia"/>
    <s v="F"/>
    <m/>
    <m/>
    <s v="Pendente"/>
    <d v="2026-04-04T00:00:00"/>
    <x v="2"/>
  </r>
  <r>
    <d v="2026-03-26T00:00:00"/>
    <d v="2026-03-29T00:00:00"/>
    <d v="2026-04-01T00:00:00"/>
    <s v="ANTONIO CARLOS DE OLIVEIRA"/>
    <x v="0"/>
    <s v="Leticia"/>
    <s v="F"/>
    <m/>
    <m/>
    <s v="Pendente"/>
    <d v="2026-04-04T00:00:00"/>
    <x v="2"/>
  </r>
  <r>
    <d v="2026-03-27T00:00:00"/>
    <d v="2026-03-30T00:00:00"/>
    <d v="2026-04-02T00:00:00"/>
    <s v="ALSEBERTO ROCHA ALMEIDA"/>
    <x v="1"/>
    <s v="Jacqueline"/>
    <s v="F"/>
    <m/>
    <m/>
    <s v="Pendente"/>
    <d v="2026-04-05T00:00:00"/>
    <x v="2"/>
  </r>
  <r>
    <d v="2026-03-27T00:00:00"/>
    <d v="2026-03-30T00:00:00"/>
    <d v="2026-04-02T00:00:00"/>
    <s v="CARLOS JOAQUIM DOS SANTOS"/>
    <x v="4"/>
    <s v="Isabella"/>
    <s v="F"/>
    <m/>
    <m/>
    <s v="Pendente"/>
    <d v="2026-04-05T00:00:00"/>
    <x v="2"/>
  </r>
  <r>
    <d v="2026-03-27T00:00:00"/>
    <d v="2026-03-30T00:00:00"/>
    <d v="2026-04-02T00:00:00"/>
    <s v="LILIAN GOMES MARIANO"/>
    <x v="2"/>
    <s v="Myrelle"/>
    <s v="F"/>
    <m/>
    <m/>
    <s v="Pendente"/>
    <d v="2026-04-05T00:00:00"/>
    <x v="2"/>
  </r>
  <r>
    <d v="2026-03-27T00:00:00"/>
    <d v="2026-03-30T00:00:00"/>
    <d v="2026-04-02T00:00:00"/>
    <s v="JOSE JORGE MASRI"/>
    <x v="9"/>
    <s v="Enzo"/>
    <m/>
    <m/>
    <m/>
    <s v="Pendente"/>
    <d v="2026-04-05T00:00:00"/>
    <x v="2"/>
  </r>
  <r>
    <d v="2026-03-27T00:00:00"/>
    <d v="2026-03-30T00:00:00"/>
    <d v="2026-04-02T00:00:00"/>
    <s v="MARILENE VERDUGO BALDO DE OLIVEIRA"/>
    <x v="0"/>
    <s v="Enzo"/>
    <m/>
    <m/>
    <m/>
    <s v="Pendente"/>
    <d v="2026-04-05T00:00:00"/>
    <x v="2"/>
  </r>
  <r>
    <d v="2026-03-27T00:00:00"/>
    <d v="2026-03-30T00:00:00"/>
    <d v="2026-04-02T00:00:00"/>
    <s v="ANTONIO APARECIDO DE CAMPOS"/>
    <x v="2"/>
    <s v="Enzo"/>
    <m/>
    <m/>
    <m/>
    <s v="Pendente"/>
    <d v="2026-04-05T00:00:00"/>
    <x v="2"/>
  </r>
  <r>
    <d v="2026-03-27T00:00:00"/>
    <d v="2026-03-30T00:00:00"/>
    <d v="2026-04-02T00:00:00"/>
    <s v="PAULA PEREIRA LIMA"/>
    <x v="5"/>
    <s v="Enzo"/>
    <m/>
    <m/>
    <m/>
    <s v="Pendente"/>
    <d v="2026-04-05T00:00:00"/>
    <x v="2"/>
  </r>
  <r>
    <d v="2026-03-27T00:00:00"/>
    <d v="2026-03-30T00:00:00"/>
    <d v="2026-04-02T00:00:00"/>
    <s v="NELSON LANGUES"/>
    <x v="5"/>
    <s v="Myrelle"/>
    <s v="F"/>
    <m/>
    <m/>
    <s v="Pendente"/>
    <d v="2026-04-05T00:00:00"/>
    <x v="2"/>
  </r>
  <r>
    <d v="2026-03-27T00:00:00"/>
    <d v="2026-03-30T00:00:00"/>
    <d v="2026-04-02T00:00:00"/>
    <s v="MARCIO CORDEIRO"/>
    <x v="2"/>
    <s v="Leticia"/>
    <s v="F"/>
    <m/>
    <m/>
    <s v="Pendente"/>
    <d v="2026-04-05T00:00:00"/>
    <x v="2"/>
  </r>
  <r>
    <d v="2026-03-27T00:00:00"/>
    <d v="2026-03-30T00:00:00"/>
    <d v="2026-04-02T00:00:00"/>
    <s v="JORGE SOARES SANTOS"/>
    <x v="0"/>
    <s v="Myrelle"/>
    <s v="F"/>
    <m/>
    <m/>
    <s v="Pendente"/>
    <d v="2026-04-05T00:00:00"/>
    <x v="2"/>
  </r>
  <r>
    <d v="2026-03-27T00:00:00"/>
    <d v="2026-03-30T00:00:00"/>
    <d v="2026-04-02T00:00:00"/>
    <s v="CARLOS PEREIRA DA SILVA"/>
    <x v="0"/>
    <s v="Leticia"/>
    <s v="F"/>
    <m/>
    <m/>
    <s v="Pendente"/>
    <d v="2026-04-05T00:00:00"/>
    <x v="2"/>
  </r>
  <r>
    <d v="2026-03-27T00:00:00"/>
    <d v="2026-03-30T00:00:00"/>
    <d v="2026-04-02T00:00:00"/>
    <s v="NALDINEYA LUZ VIANA"/>
    <x v="3"/>
    <s v="John"/>
    <s v="M"/>
    <m/>
    <m/>
    <s v="Pendente"/>
    <d v="2026-04-05T00:00:00"/>
    <x v="2"/>
  </r>
  <r>
    <d v="2026-03-27T00:00:00"/>
    <d v="2026-03-30T00:00:00"/>
    <d v="2026-04-02T00:00:00"/>
    <s v="EDMILSON DE LIMA"/>
    <x v="0"/>
    <s v="John"/>
    <s v="M"/>
    <m/>
    <m/>
    <s v="Pendente"/>
    <d v="2026-04-05T00:00:00"/>
    <x v="2"/>
  </r>
  <r>
    <d v="2026-03-27T00:00:00"/>
    <d v="2026-03-30T00:00:00"/>
    <d v="2026-04-02T00:00:00"/>
    <s v="VITORIA DIAS FEITEIRO"/>
    <x v="3"/>
    <s v="Jacqueline"/>
    <s v="F"/>
    <m/>
    <m/>
    <s v="Pendente"/>
    <d v="2026-04-05T00:00:00"/>
    <x v="2"/>
  </r>
  <r>
    <d v="2026-03-30T00:00:00"/>
    <d v="2026-04-02T00:00:00"/>
    <d v="2026-04-05T00:00:00"/>
    <s v="KAIQUE DOS SANTOS PAIVA"/>
    <x v="2"/>
    <s v="Leticia"/>
    <s v="F"/>
    <m/>
    <m/>
    <s v="Pendente"/>
    <d v="2026-04-08T00:00:00"/>
    <x v="2"/>
  </r>
  <r>
    <d v="2026-03-30T00:00:00"/>
    <d v="2026-04-02T00:00:00"/>
    <d v="2026-04-05T00:00:00"/>
    <s v="PAULO ROBERTO APARECIDO DA SILVA"/>
    <x v="4"/>
    <s v="Jéssica"/>
    <s v="F"/>
    <m/>
    <m/>
    <s v="Pendente"/>
    <d v="2026-04-08T00:00:00"/>
    <x v="2"/>
  </r>
  <r>
    <d v="2026-03-30T00:00:00"/>
    <d v="2026-04-02T00:00:00"/>
    <d v="2026-04-05T00:00:00"/>
    <s v="JEFFERSON DE JESUS SAMPAIO"/>
    <x v="0"/>
    <s v="Jacqueline"/>
    <s v="F"/>
    <m/>
    <m/>
    <s v="Pendente"/>
    <d v="2026-04-08T00:00:00"/>
    <x v="2"/>
  </r>
  <r>
    <d v="2026-03-31T00:00:00"/>
    <d v="2026-04-03T00:00:00"/>
    <d v="2026-04-06T00:00:00"/>
    <s v="ISMAEL OLIVEIRA DOS SANTOS"/>
    <x v="3"/>
    <s v="Enzo"/>
    <m/>
    <m/>
    <m/>
    <s v="Pendente"/>
    <d v="2026-04-09T00:00:00"/>
    <x v="2"/>
  </r>
  <r>
    <d v="2026-03-31T00:00:00"/>
    <d v="2026-04-03T00:00:00"/>
    <d v="2026-04-06T00:00:00"/>
    <s v="RAFAEL FLORENCIO DE SOUZA"/>
    <x v="1"/>
    <s v="Enzo"/>
    <m/>
    <m/>
    <m/>
    <s v="Pendente"/>
    <d v="2026-04-09T00:00:00"/>
    <x v="2"/>
  </r>
  <r>
    <d v="2026-03-31T00:00:00"/>
    <d v="2026-04-03T00:00:00"/>
    <d v="2026-04-06T00:00:00"/>
    <s v="ALEFER FONTANS DA SILVA"/>
    <x v="1"/>
    <s v="Myrelle"/>
    <s v="F"/>
    <m/>
    <m/>
    <s v="Pendente"/>
    <d v="2026-04-09T00:00:00"/>
    <x v="2"/>
  </r>
  <r>
    <d v="2026-03-31T00:00:00"/>
    <d v="2026-04-03T00:00:00"/>
    <d v="2026-04-06T00:00:00"/>
    <s v="ISLOM JANUARIO ASSUNCAO"/>
    <x v="1"/>
    <s v="John"/>
    <s v="M"/>
    <m/>
    <m/>
    <s v="Pendente"/>
    <d v="2026-04-09T00:00:00"/>
    <x v="2"/>
  </r>
  <r>
    <d v="2026-03-31T00:00:00"/>
    <d v="2026-04-03T00:00:00"/>
    <d v="2026-04-06T00:00:00"/>
    <s v="JOSE ROBERTO RIOS"/>
    <x v="2"/>
    <s v="John"/>
    <s v="M"/>
    <m/>
    <m/>
    <s v="Pendente"/>
    <d v="2026-04-09T00:00:00"/>
    <x v="2"/>
  </r>
  <r>
    <d v="2026-03-31T00:00:00"/>
    <d v="2026-04-03T00:00:00"/>
    <d v="2026-04-06T00:00:00"/>
    <s v="JULIA MARIA DO NASCIMENTO LUCHETTI MACEDO"/>
    <x v="0"/>
    <s v="Jacqueline"/>
    <s v="F"/>
    <m/>
    <m/>
    <s v="Pendente"/>
    <d v="2026-04-09T00:00:00"/>
    <x v="2"/>
  </r>
  <r>
    <d v="2026-03-31T00:00:00"/>
    <d v="2026-04-03T00:00:00"/>
    <d v="2026-04-06T00:00:00"/>
    <s v="JOAO JOSE CARMO CUNHA"/>
    <x v="0"/>
    <s v="Isabella"/>
    <s v="F"/>
    <m/>
    <m/>
    <s v="Pendente"/>
    <d v="2026-04-09T00:00:00"/>
    <x v="2"/>
  </r>
  <r>
    <d v="2026-03-31T00:00:00"/>
    <d v="2026-04-03T00:00:00"/>
    <d v="2026-04-06T00:00:00"/>
    <s v="RICARDO APARECIDO CORDEIRO"/>
    <x v="0"/>
    <s v="John"/>
    <s v="M"/>
    <m/>
    <m/>
    <s v="Pendente"/>
    <d v="2026-04-09T00:00:00"/>
    <x v="2"/>
  </r>
  <r>
    <d v="2026-03-31T00:00:00"/>
    <d v="2026-04-03T00:00:00"/>
    <d v="2026-04-06T00:00:00"/>
    <s v="FELIPE RAMON GONCALVES GUIMARAES"/>
    <x v="0"/>
    <s v="Myrelle"/>
    <s v="F"/>
    <m/>
    <m/>
    <s v="Pendente"/>
    <d v="2026-04-09T00:00:00"/>
    <x v="2"/>
  </r>
  <r>
    <d v="2026-03-31T00:00:00"/>
    <d v="2026-04-03T00:00:00"/>
    <d v="2026-04-06T00:00:00"/>
    <s v="RAFAEL LUIZ FERREIRA"/>
    <x v="2"/>
    <s v="John"/>
    <s v="M"/>
    <m/>
    <m/>
    <s v="Pendente"/>
    <d v="2026-04-09T00:00:00"/>
    <x v="2"/>
  </r>
  <r>
    <d v="2026-03-31T00:00:00"/>
    <d v="2026-04-03T00:00:00"/>
    <d v="2026-04-06T00:00:00"/>
    <s v="LEANDRO DE AQUINO MARTINS"/>
    <x v="1"/>
    <s v="Leticia"/>
    <s v="F"/>
    <m/>
    <m/>
    <s v="Pendente"/>
    <d v="2026-04-09T00:00:00"/>
    <x v="2"/>
  </r>
  <r>
    <d v="2026-03-31T00:00:00"/>
    <d v="2026-04-03T00:00:00"/>
    <d v="2026-04-06T00:00:00"/>
    <s v="DANIELLE FERREIRA CRUZ SILVA"/>
    <x v="1"/>
    <s v="Leticia"/>
    <s v="F"/>
    <m/>
    <m/>
    <s v="Pendente"/>
    <d v="2026-04-09T00:00:00"/>
    <x v="2"/>
  </r>
  <r>
    <d v="2026-04-01T00:00:00"/>
    <d v="2026-04-04T00:00:00"/>
    <d v="2026-04-07T00:00:00"/>
    <s v="JAIME DA SILVA"/>
    <x v="0"/>
    <s v="Jacqueline"/>
    <s v="F"/>
    <n v="5519992746842"/>
    <s v="Novo"/>
    <s v="Assinado"/>
    <d v="2026-04-10T00:00:00"/>
    <x v="3"/>
  </r>
  <r>
    <d v="2026-04-01T00:00:00"/>
    <d v="2026-04-04T00:00:00"/>
    <d v="2026-04-07T00:00:00"/>
    <s v="JORGE LUIS CONCEICAO"/>
    <x v="2"/>
    <s v="Jacqueline"/>
    <s v="F"/>
    <n v="5513981968694"/>
    <s v="Novo"/>
    <s v="Assinado"/>
    <d v="2026-04-10T00:00:00"/>
    <x v="3"/>
  </r>
  <r>
    <d v="2026-04-01T00:00:00"/>
    <d v="2026-04-04T00:00:00"/>
    <d v="2026-04-07T00:00:00"/>
    <s v="DIONIZIO VIEIRA NETO"/>
    <x v="0"/>
    <s v="Leticia"/>
    <s v="F"/>
    <n v="5511993309054"/>
    <s v="Novo"/>
    <s v="Assinado"/>
    <d v="2026-04-10T00:00:00"/>
    <x v="3"/>
  </r>
  <r>
    <d v="2026-04-01T00:00:00"/>
    <d v="2026-04-04T00:00:00"/>
    <d v="2026-04-07T00:00:00"/>
    <s v="JONATHAN LIMA DE OLIVEIRA"/>
    <x v="2"/>
    <s v="Leticia"/>
    <s v="F"/>
    <n v="5511940271138"/>
    <s v="Novo"/>
    <s v="Assinado(manual)"/>
    <d v="2026-04-10T00:00:00"/>
    <x v="3"/>
  </r>
  <r>
    <d v="2026-04-01T00:00:00"/>
    <d v="2026-04-04T00:00:00"/>
    <d v="2026-04-07T00:00:00"/>
    <s v="SIMONE CRISTINA DO NASCIMENTO"/>
    <x v="0"/>
    <s v="Leticia"/>
    <s v="F"/>
    <n v="5516993139302"/>
    <s v="Novo"/>
    <s v="Assinado(manual)"/>
    <d v="2026-04-10T00:00:00"/>
    <x v="3"/>
  </r>
  <r>
    <d v="2026-04-01T00:00:00"/>
    <d v="2026-04-04T00:00:00"/>
    <d v="2026-04-07T00:00:00"/>
    <s v="EDVALDO ROBERTO GOBI"/>
    <x v="0"/>
    <s v="Isabella"/>
    <s v="F"/>
    <n v="5516991332768"/>
    <s v="Novo"/>
    <s v="Assinado"/>
    <d v="2026-04-10T00:00:00"/>
    <x v="3"/>
  </r>
  <r>
    <d v="2026-04-01T00:00:00"/>
    <d v="2026-04-04T00:00:00"/>
    <d v="2026-04-07T00:00:00"/>
    <s v="LUCILA HELENA GOMES PEREIRA"/>
    <x v="0"/>
    <s v="Leticia"/>
    <s v="F"/>
    <n v="5511991110707"/>
    <s v="Novo"/>
    <s v="Assinado"/>
    <d v="2026-04-10T00:00:00"/>
    <x v="3"/>
  </r>
  <r>
    <d v="2026-04-02T00:00:00"/>
    <d v="2026-04-05T00:00:00"/>
    <d v="2026-04-08T00:00:00"/>
    <s v="LUZIA RODRIGUES DA SILVA FIGUEIREDO"/>
    <x v="5"/>
    <s v="John"/>
    <s v="M"/>
    <n v="5511912405458"/>
    <s v="Renovação"/>
    <s v="Na planilha"/>
    <d v="2026-04-11T00:00:00"/>
    <x v="3"/>
  </r>
  <r>
    <d v="2026-04-02T00:00:00"/>
    <d v="2026-04-05T00:00:00"/>
    <d v="2026-04-08T00:00:00"/>
    <s v="DALVO ROSA FIGUEIREDO"/>
    <x v="3"/>
    <s v="John"/>
    <s v="M"/>
    <n v="5519998593830"/>
    <s v="Renovação"/>
    <s v="Na planilha"/>
    <d v="2026-04-11T00:00:00"/>
    <x v="3"/>
  </r>
  <r>
    <d v="2026-04-02T00:00:00"/>
    <d v="2026-04-05T00:00:00"/>
    <d v="2026-04-08T00:00:00"/>
    <s v="WILLIAM SILVA MOREIRA"/>
    <x v="0"/>
    <s v="Jacqueline"/>
    <s v="F"/>
    <n v="5511967881645"/>
    <s v="Novo"/>
    <s v="Assinado"/>
    <d v="2026-04-11T00:00:00"/>
    <x v="3"/>
  </r>
  <r>
    <d v="2026-04-02T00:00:00"/>
    <d v="2026-04-05T00:00:00"/>
    <d v="2026-04-08T00:00:00"/>
    <s v="CAIO CESAR CONCEICAO SANTANA"/>
    <x v="1"/>
    <s v="John"/>
    <s v="M"/>
    <n v="5511943247824"/>
    <s v="Renovação"/>
    <s v="Assinado"/>
    <d v="2026-04-11T00:00:00"/>
    <x v="3"/>
  </r>
  <r>
    <d v="2026-04-02T00:00:00"/>
    <d v="2026-04-05T00:00:00"/>
    <d v="2026-04-08T00:00:00"/>
    <s v="CESAR FLORENCIO ALVES"/>
    <x v="0"/>
    <s v="Enzo"/>
    <s v="M"/>
    <n v="5516991487210"/>
    <s v="Novo"/>
    <s v="Na planilha"/>
    <d v="2026-04-11T00:00:00"/>
    <x v="3"/>
  </r>
  <r>
    <d v="2026-04-02T00:00:00"/>
    <d v="2026-04-05T00:00:00"/>
    <d v="2026-04-08T00:00:00"/>
    <s v="ANTONIO TRIGUEIRO CARLOS"/>
    <x v="1"/>
    <s v="Leticia"/>
    <s v="F"/>
    <n v="5511912228580"/>
    <s v="Novo"/>
    <s v="Assinado"/>
    <d v="2026-04-11T00:00:00"/>
    <x v="3"/>
  </r>
  <r>
    <d v="2026-04-02T00:00:00"/>
    <d v="2026-04-05T00:00:00"/>
    <d v="2026-04-08T00:00:00"/>
    <s v="VANDEVALDO SOUSA COSTA"/>
    <x v="9"/>
    <s v="Jacqueline"/>
    <s v="F"/>
    <n v="5511971885046"/>
    <s v="Novo"/>
    <s v="Erro"/>
    <d v="2026-04-11T00:00:00"/>
    <x v="3"/>
  </r>
  <r>
    <d v="2026-04-02T00:00:00"/>
    <d v="2026-04-05T00:00:00"/>
    <d v="2026-04-08T00:00:00"/>
    <s v="JACIMARA DA SILVA NETO"/>
    <x v="1"/>
    <s v="Jacqueline"/>
    <s v="F"/>
    <n v="5511963680217"/>
    <s v="Novo"/>
    <s v="Assinado"/>
    <d v="2026-04-11T00:00:00"/>
    <x v="3"/>
  </r>
  <r>
    <d v="2026-04-06T00:00:00"/>
    <d v="2026-04-09T00:00:00"/>
    <d v="2026-04-12T00:00:00"/>
    <s v="RODRIGO CARVALHO MARQUES"/>
    <x v="2"/>
    <s v="Jéssica"/>
    <s v="F"/>
    <n v="5519993619422"/>
    <s v="Novo"/>
    <s v="Cancelado"/>
    <d v="2026-04-15T00:00:00"/>
    <x v="3"/>
  </r>
  <r>
    <d v="2026-04-06T00:00:00"/>
    <d v="2026-04-09T00:00:00"/>
    <d v="2026-04-12T00:00:00"/>
    <s v="GABRIELA BARBOSA CANDIDO DA SILVA"/>
    <x v="1"/>
    <s v="Jéssica"/>
    <s v="F"/>
    <n v="5511949958512"/>
    <s v="Novo"/>
    <s v="Assinado"/>
    <d v="2026-04-15T00:00:00"/>
    <x v="3"/>
  </r>
  <r>
    <d v="2026-04-06T00:00:00"/>
    <d v="2026-04-09T00:00:00"/>
    <d v="2026-04-12T00:00:00"/>
    <s v="SONIA CORREIA DE SOUZA"/>
    <x v="0"/>
    <s v="Myrelle"/>
    <s v="F"/>
    <n v="5511941836050"/>
    <s v="Novo"/>
    <s v="Assinado"/>
    <d v="2026-04-15T00:00:00"/>
    <x v="3"/>
  </r>
  <r>
    <d v="2026-04-06T00:00:00"/>
    <d v="2026-04-09T00:00:00"/>
    <d v="2026-04-12T00:00:00"/>
    <s v="BRUNO OLIVEIRA DAS NEVES"/>
    <x v="1"/>
    <s v="Myrelle"/>
    <s v="F"/>
    <n v="5511998580036"/>
    <s v="Novo"/>
    <s v="Assinado"/>
    <d v="2026-04-15T00:00:00"/>
    <x v="3"/>
  </r>
  <r>
    <d v="2026-04-06T00:00:00"/>
    <d v="2026-04-09T00:00:00"/>
    <d v="2026-04-12T00:00:00"/>
    <s v="INGRID SANTOS DA SILVA"/>
    <x v="1"/>
    <s v="John"/>
    <s v="M"/>
    <n v="5511914812462"/>
    <s v="Renovação"/>
    <s v="Na planilha"/>
    <d v="2026-04-15T00:00:00"/>
    <x v="3"/>
  </r>
  <r>
    <d v="2026-04-06T00:00:00"/>
    <d v="2026-04-09T00:00:00"/>
    <d v="2026-04-12T00:00:00"/>
    <s v="ROSANA MARA DE ASSIS BERBARE"/>
    <x v="1"/>
    <s v="John"/>
    <s v="M"/>
    <n v="5511986510007"/>
    <s v="Renovação"/>
    <s v="Assinado"/>
    <d v="2026-04-15T00:00:00"/>
    <x v="3"/>
  </r>
  <r>
    <d v="2026-04-06T00:00:00"/>
    <d v="2026-04-09T00:00:00"/>
    <d v="2026-04-12T00:00:00"/>
    <s v="JOSE GERALDO DA SILVA"/>
    <x v="2"/>
    <s v="John"/>
    <s v="M"/>
    <n v="5511983866617"/>
    <s v="Novo"/>
    <s v="Assinado"/>
    <d v="2026-04-15T00:00:00"/>
    <x v="3"/>
  </r>
  <r>
    <d v="2026-04-06T00:00:00"/>
    <d v="2026-04-09T00:00:00"/>
    <d v="2026-04-12T00:00:00"/>
    <s v="LUIZ ROBERTO BIZUTTI"/>
    <x v="0"/>
    <s v="John"/>
    <s v="M"/>
    <n v="5511963449404"/>
    <s v="Renovação"/>
    <s v="Na planilha"/>
    <d v="2026-04-15T00:00:00"/>
    <x v="3"/>
  </r>
  <r>
    <d v="2026-04-06T00:00:00"/>
    <d v="2026-04-09T00:00:00"/>
    <d v="2026-04-12T00:00:00"/>
    <s v="MARCIO PAULO JORDANO"/>
    <x v="1"/>
    <s v="Enzo"/>
    <s v="M"/>
    <n v="5511920014005"/>
    <s v="Novo"/>
    <s v="Assinado"/>
    <d v="2026-04-15T00:00:00"/>
    <x v="3"/>
  </r>
  <r>
    <d v="2026-04-06T00:00:00"/>
    <d v="2026-04-09T00:00:00"/>
    <d v="2026-04-12T00:00:00"/>
    <s v="JOAO BATISTA JOSE DE SA"/>
    <x v="4"/>
    <s v="Enzo"/>
    <s v="M"/>
    <n v="5519997890452"/>
    <s v="Novo"/>
    <s v="Na planilha"/>
    <d v="2026-04-15T00:00:00"/>
    <x v="3"/>
  </r>
  <r>
    <d v="2026-04-06T00:00:00"/>
    <d v="2026-04-09T00:00:00"/>
    <d v="2026-04-12T00:00:00"/>
    <s v="ANTONIO RODRIGO LOPES"/>
    <x v="0"/>
    <s v="Jacqueline"/>
    <s v="F"/>
    <n v="5561985575101"/>
    <s v="Novo"/>
    <s v="Assinado"/>
    <d v="2026-04-15T00:00:00"/>
    <x v="3"/>
  </r>
  <r>
    <d v="2026-04-06T00:00:00"/>
    <d v="2026-04-09T00:00:00"/>
    <d v="2026-04-12T00:00:00"/>
    <s v="MARCIO NUNES LOPES"/>
    <x v="2"/>
    <s v="John"/>
    <s v="M"/>
    <n v="5513988408603"/>
    <s v="Novo"/>
    <s v="Assinado"/>
    <d v="2026-04-15T00:00:00"/>
    <x v="3"/>
  </r>
  <r>
    <d v="2026-04-07T00:00:00"/>
    <d v="2026-04-10T00:00:00"/>
    <d v="2026-04-13T00:00:00"/>
    <s v="ARIOVALDO DONIZETE DE SOUZA LIMA"/>
    <x v="1"/>
    <s v="Jacqueline"/>
    <s v="F"/>
    <n v="5511920451992"/>
    <s v="Novo"/>
    <s v="Na planilha"/>
    <d v="2026-04-16T00:00:00"/>
    <x v="3"/>
  </r>
  <r>
    <d v="2026-04-07T00:00:00"/>
    <d v="2026-04-10T00:00:00"/>
    <d v="2026-04-13T00:00:00"/>
    <s v="JOSE BARBOZA"/>
    <x v="4"/>
    <s v="Jéssica"/>
    <s v="F"/>
    <n v="5511966584564"/>
    <s v="Novo"/>
    <s v="Cancelado"/>
    <d v="2026-04-16T00:00:00"/>
    <x v="3"/>
  </r>
  <r>
    <d v="2026-04-07T00:00:00"/>
    <d v="2026-04-10T00:00:00"/>
    <d v="2026-04-13T00:00:00"/>
    <s v="JOABE FERREIRA LAURENTINO"/>
    <x v="1"/>
    <s v="Leticia"/>
    <s v="F"/>
    <n v="5511964694654"/>
    <s v="Novo"/>
    <s v="Assinado(manual)"/>
    <d v="2026-04-16T00:00:00"/>
    <x v="3"/>
  </r>
  <r>
    <d v="2026-04-07T00:00:00"/>
    <d v="2026-04-10T00:00:00"/>
    <d v="2026-04-13T00:00:00"/>
    <s v="AGNALDO RIBEIRO DOS SANTOS"/>
    <x v="1"/>
    <s v="John"/>
    <s v="M"/>
    <n v="5511968265958"/>
    <s v="Renovação"/>
    <s v="Na planilha"/>
    <d v="2026-04-16T00:00:00"/>
    <x v="3"/>
  </r>
  <r>
    <d v="2026-04-07T00:00:00"/>
    <d v="2026-04-10T00:00:00"/>
    <d v="2026-04-13T00:00:00"/>
    <s v="FRANCISCO LUDUJERO SANTOS DE JESUS"/>
    <x v="0"/>
    <s v="John"/>
    <s v="M"/>
    <n v="5511958381074"/>
    <s v="Renovação"/>
    <s v="Na planilha"/>
    <d v="2026-04-16T00:00:00"/>
    <x v="3"/>
  </r>
  <r>
    <d v="2026-04-07T00:00:00"/>
    <d v="2026-04-10T00:00:00"/>
    <d v="2026-04-13T00:00:00"/>
    <s v="JACQUELINE CASTRO ALMEIDA"/>
    <x v="0"/>
    <s v="John"/>
    <s v="M"/>
    <n v="5511982932558"/>
    <s v="Renovação"/>
    <s v="Assinado"/>
    <d v="2026-04-16T00:00:00"/>
    <x v="3"/>
  </r>
  <r>
    <d v="2026-04-07T00:00:00"/>
    <d v="2026-04-10T00:00:00"/>
    <d v="2026-04-13T00:00:00"/>
    <s v="NAILSON OLIVEIRA DIAS"/>
    <x v="11"/>
    <s v="John"/>
    <s v="M"/>
    <n v="5511952211093"/>
    <s v="Novo"/>
    <s v="Assinado"/>
    <d v="2026-04-16T00:00:00"/>
    <x v="3"/>
  </r>
  <r>
    <d v="2026-04-07T00:00:00"/>
    <d v="2026-04-10T00:00:00"/>
    <d v="2026-04-13T00:00:00"/>
    <s v="LUCICLEIA ANDRADE SOUZA"/>
    <x v="1"/>
    <s v="John"/>
    <s v="M"/>
    <n v="5511992431621"/>
    <s v="Novo"/>
    <s v="Assinado"/>
    <d v="2026-04-16T00:00:00"/>
    <x v="3"/>
  </r>
  <r>
    <d v="2026-04-07T00:00:00"/>
    <d v="2026-04-10T00:00:00"/>
    <d v="2026-04-13T00:00:00"/>
    <s v="ADAILSON DO NASCIMENTO CARVALHO"/>
    <x v="1"/>
    <s v="John"/>
    <s v="M"/>
    <n v="5511980583514"/>
    <s v="Novo"/>
    <s v="Assinado"/>
    <d v="2026-04-16T00:00:00"/>
    <x v="3"/>
  </r>
  <r>
    <d v="2026-04-07T00:00:00"/>
    <d v="2026-04-10T00:00:00"/>
    <d v="2026-04-13T00:00:00"/>
    <s v="JANIO DE SOUZA SOARES"/>
    <x v="0"/>
    <s v="John"/>
    <s v="M"/>
    <n v="5511912592098"/>
    <s v="Novo"/>
    <s v="Assinado"/>
    <d v="2026-04-16T00:00:00"/>
    <x v="3"/>
  </r>
  <r>
    <d v="2026-04-07T00:00:00"/>
    <d v="2026-04-10T00:00:00"/>
    <d v="2026-04-13T00:00:00"/>
    <s v="CLEUSA NASCIMENTO DA SILVA"/>
    <x v="0"/>
    <s v="John"/>
    <s v="M"/>
    <n v="5511982717305"/>
    <s v="Novo"/>
    <s v="Assinado"/>
    <d v="2026-04-16T00:00:00"/>
    <x v="3"/>
  </r>
  <r>
    <d v="2026-04-07T00:00:00"/>
    <d v="2026-04-10T00:00:00"/>
    <d v="2026-04-13T00:00:00"/>
    <s v="EDUARDO BORGE DE OLIVEIRA"/>
    <x v="0"/>
    <s v="Leticia"/>
    <s v="F"/>
    <n v="5519993826267"/>
    <s v="Novo"/>
    <s v="Assinado"/>
    <d v="2026-04-16T00:00:00"/>
    <x v="3"/>
  </r>
  <r>
    <d v="2026-04-08T00:00:00"/>
    <d v="2026-04-11T00:00:00"/>
    <d v="2026-04-14T00:00:00"/>
    <s v="ROBERTO MOREIRA DA SILVA"/>
    <x v="7"/>
    <s v="Isabella"/>
    <s v="F"/>
    <n v="5511980429844"/>
    <s v="Novo"/>
    <s v="Assinado"/>
    <d v="2026-04-17T00:00:00"/>
    <x v="3"/>
  </r>
  <r>
    <d v="2026-04-08T00:00:00"/>
    <d v="2026-04-11T00:00:00"/>
    <d v="2026-04-14T00:00:00"/>
    <s v="KAWAN SANTOS DE JESUS"/>
    <x v="1"/>
    <s v="Isabella"/>
    <s v="F"/>
    <n v="5511991897948"/>
    <s v="Novo"/>
    <s v="Cancelado"/>
    <d v="2026-04-17T00:00:00"/>
    <x v="3"/>
  </r>
  <r>
    <d v="2026-04-08T00:00:00"/>
    <d v="2026-04-11T00:00:00"/>
    <d v="2026-04-14T00:00:00"/>
    <s v="MARIA FRANCISCA DE ALMEIDA RIBEIRO"/>
    <x v="2"/>
    <s v="Isabella"/>
    <s v="F"/>
    <n v="5538999627970"/>
    <s v="Novo"/>
    <s v="Assinado"/>
    <d v="2026-04-17T00:00:00"/>
    <x v="3"/>
  </r>
  <r>
    <d v="2026-04-08T00:00:00"/>
    <d v="2026-04-11T00:00:00"/>
    <d v="2026-04-14T00:00:00"/>
    <s v="ANA MARA BARBOSA"/>
    <x v="0"/>
    <s v="Isabella"/>
    <s v="F"/>
    <n v="5511973056348"/>
    <s v="Novo"/>
    <s v="Assinado"/>
    <d v="2026-04-17T00:00:00"/>
    <x v="3"/>
  </r>
  <r>
    <d v="2026-04-08T00:00:00"/>
    <d v="2026-04-11T00:00:00"/>
    <d v="2026-04-14T00:00:00"/>
    <s v="FERNANDA MACHADO QUEIROZ"/>
    <x v="4"/>
    <s v="Isabella"/>
    <s v="F"/>
    <n v="5511994966063"/>
    <s v="Novo"/>
    <s v="Assinado"/>
    <d v="2026-04-17T00:00:00"/>
    <x v="3"/>
  </r>
  <r>
    <d v="2026-04-08T00:00:00"/>
    <d v="2026-04-11T00:00:00"/>
    <d v="2026-04-14T00:00:00"/>
    <s v="JOAQUIM DANIEL GUEDES"/>
    <x v="1"/>
    <s v="Jacqueline"/>
    <s v="F"/>
    <n v="5511968514708"/>
    <s v="Novo"/>
    <s v="Assinado"/>
    <d v="2026-04-17T00:00:00"/>
    <x v="3"/>
  </r>
  <r>
    <d v="2026-04-08T00:00:00"/>
    <d v="2026-04-11T00:00:00"/>
    <d v="2026-04-14T00:00:00"/>
    <s v="LEOMIR FERREIRA DE ARAUJO"/>
    <x v="3"/>
    <s v="Jacqueline"/>
    <s v="F"/>
    <n v="5561992291296"/>
    <s v="Novo"/>
    <s v="Assinado"/>
    <d v="2026-04-17T00:00:00"/>
    <x v="3"/>
  </r>
  <r>
    <d v="2026-04-08T00:00:00"/>
    <d v="2026-04-11T00:00:00"/>
    <d v="2026-04-14T00:00:00"/>
    <s v="EDSON APARECIDO PAIN"/>
    <x v="0"/>
    <s v="Enzo"/>
    <s v="M"/>
    <n v="5518998267602"/>
    <s v="Novo"/>
    <s v="Assinado"/>
    <d v="2026-04-17T00:00:00"/>
    <x v="3"/>
  </r>
  <r>
    <d v="2026-04-08T00:00:00"/>
    <d v="2026-04-11T00:00:00"/>
    <d v="2026-04-14T00:00:00"/>
    <s v="EDUARDO NARCIZO DE ABREU"/>
    <x v="1"/>
    <s v="Enzo"/>
    <s v="M"/>
    <n v="5519996269596"/>
    <s v="Novo"/>
    <s v="Assinado"/>
    <d v="2026-04-17T00:00:00"/>
    <x v="3"/>
  </r>
  <r>
    <d v="2026-04-08T00:00:00"/>
    <d v="2026-04-11T00:00:00"/>
    <d v="2026-04-14T00:00:00"/>
    <s v="JOAO TAVARES DE LIMA"/>
    <x v="0"/>
    <s v="Enzo"/>
    <s v="M"/>
    <n v="5513981587623"/>
    <s v="Novo"/>
    <s v="Assinado"/>
    <d v="2026-04-17T00:00:00"/>
    <x v="3"/>
  </r>
  <r>
    <d v="2026-04-08T00:00:00"/>
    <d v="2026-04-11T00:00:00"/>
    <d v="2026-04-14T00:00:00"/>
    <s v="ANA PAULA NAGATA DOS SANTOS"/>
    <x v="2"/>
    <s v="Enzo"/>
    <s v="M"/>
    <n v="5515997555416"/>
    <s v="Novo"/>
    <s v="Cancelado"/>
    <d v="2026-04-17T00:00:00"/>
    <x v="3"/>
  </r>
  <r>
    <d v="2026-04-08T00:00:00"/>
    <d v="2026-04-11T00:00:00"/>
    <d v="2026-04-14T00:00:00"/>
    <s v="GUILHERME PIRES DOS SANTOS"/>
    <x v="1"/>
    <s v="Leticia"/>
    <s v="F"/>
    <n v="5511983382294"/>
    <s v="Novo"/>
    <s v="Assinado"/>
    <d v="2026-04-17T00:00:00"/>
    <x v="3"/>
  </r>
  <r>
    <d v="2026-04-08T00:00:00"/>
    <d v="2026-04-11T00:00:00"/>
    <d v="2026-04-14T00:00:00"/>
    <s v="WESLEY RODRIGUES DA SILVA"/>
    <x v="1"/>
    <s v="Leticia"/>
    <s v="F"/>
    <n v="5519995685980"/>
    <s v="Novo"/>
    <s v="Assinado"/>
    <d v="2026-04-17T00:00:00"/>
    <x v="3"/>
  </r>
  <r>
    <d v="2026-04-08T00:00:00"/>
    <d v="2026-04-11T00:00:00"/>
    <d v="2026-04-14T00:00:00"/>
    <s v="REINALDO DAS GRACAS DA SILVEIRA"/>
    <x v="1"/>
    <s v="Jéssica"/>
    <s v="F"/>
    <n v="5511993373171"/>
    <s v="Novo"/>
    <s v="Na planilha"/>
    <d v="2026-04-17T00:00:00"/>
    <x v="3"/>
  </r>
  <r>
    <d v="2026-04-08T00:00:00"/>
    <d v="2026-04-11T00:00:00"/>
    <d v="2026-04-14T00:00:00"/>
    <s v="ELAINE APARECIDA DE OLIVEIRA"/>
    <x v="0"/>
    <s v="John"/>
    <s v="M"/>
    <n v="5511954946119"/>
    <s v="Novo"/>
    <s v="Na planilha"/>
    <d v="2026-04-17T00:00:00"/>
    <x v="3"/>
  </r>
  <r>
    <d v="2026-04-08T00:00:00"/>
    <d v="2026-04-11T00:00:00"/>
    <d v="2026-04-14T00:00:00"/>
    <s v="ALCEBIAS GUBERG DA SILVA"/>
    <x v="0"/>
    <s v="Myrelle"/>
    <s v="F"/>
    <n v="5511915521769"/>
    <s v="Novo"/>
    <s v="Assinado"/>
    <d v="2026-04-17T00:00:00"/>
    <x v="3"/>
  </r>
  <r>
    <d v="2026-04-08T00:00:00"/>
    <d v="2026-04-11T00:00:00"/>
    <d v="2026-04-14T00:00:00"/>
    <s v="VALENDIA CESAR BRUNY"/>
    <x v="1"/>
    <s v="Jacqueline"/>
    <s v="F"/>
    <n v="5519982017633"/>
    <s v="Novo"/>
    <s v="Cancelado"/>
    <d v="2026-04-17T00:00:00"/>
    <x v="3"/>
  </r>
  <r>
    <d v="2026-04-08T00:00:00"/>
    <d v="2026-04-11T00:00:00"/>
    <d v="2026-04-14T00:00:00"/>
    <s v="JORGE LUIS CONCEICAO"/>
    <x v="2"/>
    <s v="Jacqueline"/>
    <s v="F"/>
    <n v="5513981968694"/>
    <s v="Novo"/>
    <s v="Assinado"/>
    <d v="2026-04-17T00:00:00"/>
    <x v="3"/>
  </r>
  <r>
    <d v="2026-04-08T00:00:00"/>
    <d v="2026-04-11T00:00:00"/>
    <d v="2026-04-14T00:00:00"/>
    <s v="RAFAEL VIEIRA MOTA"/>
    <x v="1"/>
    <s v="Myrelle"/>
    <s v="F"/>
    <n v="5511978654717"/>
    <s v="Novo"/>
    <s v="Assinado"/>
    <d v="2026-04-17T00:00:00"/>
    <x v="3"/>
  </r>
  <r>
    <d v="2026-04-09T00:00:00"/>
    <d v="2026-04-12T00:00:00"/>
    <d v="2026-04-15T00:00:00"/>
    <s v="WANDERSON DA SILVA SANTOS"/>
    <x v="1"/>
    <s v="Enzo"/>
    <s v="M"/>
    <n v="5511958748955"/>
    <s v="Novo"/>
    <s v="Assinado"/>
    <d v="2026-04-18T00:00:00"/>
    <x v="3"/>
  </r>
  <r>
    <d v="2026-04-09T00:00:00"/>
    <d v="2026-04-12T00:00:00"/>
    <d v="2026-04-15T00:00:00"/>
    <s v="DIGMAR ROSOLINI JUNIOR"/>
    <x v="2"/>
    <s v="Enzo"/>
    <s v="M"/>
    <n v="5511975730239"/>
    <s v="Novo"/>
    <s v="Assinado"/>
    <d v="2026-04-18T00:00:00"/>
    <x v="3"/>
  </r>
  <r>
    <d v="2026-04-09T00:00:00"/>
    <d v="2026-04-12T00:00:00"/>
    <d v="2026-04-15T00:00:00"/>
    <s v="ELIO TEIXEIRA DE OLIVEIRA"/>
    <x v="1"/>
    <s v="John"/>
    <s v="M"/>
    <n v="5511976042075"/>
    <s v="Novo"/>
    <s v="Assinado"/>
    <d v="2026-04-18T00:00:00"/>
    <x v="3"/>
  </r>
  <r>
    <d v="2026-04-09T00:00:00"/>
    <d v="2026-04-12T00:00:00"/>
    <d v="2026-04-15T00:00:00"/>
    <s v="JANETE DA SILVA RAMOS"/>
    <x v="0"/>
    <s v="John"/>
    <s v="M"/>
    <n v="5511992773910"/>
    <s v="Novo"/>
    <s v="Assinado"/>
    <d v="2026-04-18T00:00:00"/>
    <x v="3"/>
  </r>
  <r>
    <d v="2026-04-09T00:00:00"/>
    <d v="2026-04-12T00:00:00"/>
    <d v="2026-04-15T00:00:00"/>
    <s v="RAYANE FRANCIELLY FERREIRA DE BRITO"/>
    <x v="3"/>
    <s v="John"/>
    <s v="M"/>
    <n v="5511954659422"/>
    <s v="Novo"/>
    <s v="Assinado(manual)"/>
    <d v="2026-04-18T00:00:00"/>
    <x v="3"/>
  </r>
  <r>
    <d v="2026-04-09T00:00:00"/>
    <d v="2026-04-12T00:00:00"/>
    <d v="2026-04-15T00:00:00"/>
    <s v="NATALICIO SOARES CAMPOS"/>
    <x v="4"/>
    <s v="Myrelle"/>
    <s v="F"/>
    <n v="5511996465187"/>
    <s v="Novo"/>
    <s v="Assinado"/>
    <d v="2026-04-18T00:00:00"/>
    <x v="3"/>
  </r>
  <r>
    <d v="2026-04-09T00:00:00"/>
    <d v="2026-04-12T00:00:00"/>
    <d v="2026-04-15T00:00:00"/>
    <s v="RAFAEL MIYASATO"/>
    <x v="3"/>
    <s v="John"/>
    <s v="M"/>
    <n v="5511965983184"/>
    <s v="Novo"/>
    <s v="Assinado"/>
    <d v="2026-04-18T00:00:00"/>
    <x v="3"/>
  </r>
  <r>
    <d v="2026-04-09T00:00:00"/>
    <d v="2026-04-12T00:00:00"/>
    <d v="2026-04-15T00:00:00"/>
    <s v="ROBERT ASSUNCAO LOPES"/>
    <x v="2"/>
    <s v="Leticia"/>
    <s v="F"/>
    <n v="5519987655585"/>
    <s v="Novo"/>
    <s v="Assinado"/>
    <d v="2026-04-18T00:00:00"/>
    <x v="3"/>
  </r>
  <r>
    <d v="2026-04-10T00:00:00"/>
    <d v="2026-04-13T00:00:00"/>
    <d v="2026-04-16T00:00:00"/>
    <s v="RODRIGO HOMEM DA COSTA"/>
    <x v="2"/>
    <s v="Leticia"/>
    <s v="F"/>
    <n v="5513991493145"/>
    <s v="Novo"/>
    <s v="Assinado"/>
    <d v="2026-04-19T00:00:00"/>
    <x v="3"/>
  </r>
  <r>
    <d v="2026-04-10T00:00:00"/>
    <d v="2026-04-13T00:00:00"/>
    <d v="2026-04-16T00:00:00"/>
    <s v="DEBORA GOMES ASSIS"/>
    <x v="0"/>
    <s v="John"/>
    <s v="M"/>
    <n v="5511962103639"/>
    <s v="Renovação"/>
    <s v="Assinado"/>
    <d v="2026-04-19T00:00:00"/>
    <x v="3"/>
  </r>
  <r>
    <d v="2026-04-10T00:00:00"/>
    <d v="2026-04-13T00:00:00"/>
    <d v="2026-04-16T00:00:00"/>
    <s v="VALTER DIAS DE SOUZA JUNIOR"/>
    <x v="2"/>
    <s v="John"/>
    <s v="M"/>
    <n v="5511954499526"/>
    <s v="Renovação"/>
    <s v="Assinado"/>
    <d v="2026-04-19T00:00:00"/>
    <x v="3"/>
  </r>
  <r>
    <d v="2026-04-10T00:00:00"/>
    <d v="2026-04-13T00:00:00"/>
    <d v="2026-04-16T00:00:00"/>
    <s v="MARCELO DE LEIROS"/>
    <x v="0"/>
    <s v="John"/>
    <s v="M"/>
    <n v="5511917210673"/>
    <s v="Novo"/>
    <s v="Assinado"/>
    <d v="2026-04-19T00:00:00"/>
    <x v="3"/>
  </r>
  <r>
    <d v="2026-04-10T00:00:00"/>
    <d v="2026-04-13T00:00:00"/>
    <d v="2026-04-16T00:00:00"/>
    <s v="CLAYTON EVERTON COTA"/>
    <x v="3"/>
    <s v="John"/>
    <s v="M"/>
    <n v="5511959242240"/>
    <s v="Novo"/>
    <s v="Assinado"/>
    <d v="2026-04-19T00:00:00"/>
    <x v="3"/>
  </r>
  <r>
    <d v="2026-04-10T00:00:00"/>
    <d v="2026-04-13T00:00:00"/>
    <d v="2026-04-16T00:00:00"/>
    <s v="BRUNO NEVES PINHEIRO MAGALHAES"/>
    <x v="0"/>
    <s v="Jacqueline"/>
    <s v="F"/>
    <n v="5511969076788"/>
    <s v="Novo"/>
    <s v="Assinado"/>
    <d v="2026-04-19T00:00:00"/>
    <x v="3"/>
  </r>
  <r>
    <d v="2026-04-10T00:00:00"/>
    <d v="2026-04-13T00:00:00"/>
    <d v="2026-04-16T00:00:00"/>
    <s v="CARLOS ANTONIO BRAGA DE OLIVEIRA"/>
    <x v="1"/>
    <s v="Leticia"/>
    <s v="F"/>
    <n v="5531920059348"/>
    <s v="Novo"/>
    <s v="Assinado"/>
    <d v="2026-04-19T00:00:00"/>
    <x v="3"/>
  </r>
  <r>
    <d v="2026-04-10T00:00:00"/>
    <d v="2026-04-13T00:00:00"/>
    <d v="2026-04-16T00:00:00"/>
    <s v="ELIEL PIMENTA"/>
    <x v="0"/>
    <s v="Enzo"/>
    <s v="M"/>
    <n v="5519998869055"/>
    <s v="Novo"/>
    <s v="Assinado"/>
    <d v="2026-04-19T00:00:00"/>
    <x v="3"/>
  </r>
  <r>
    <d v="2026-04-10T00:00:00"/>
    <d v="2026-04-13T00:00:00"/>
    <d v="2026-04-16T00:00:00"/>
    <s v="ROBERT ASSUNCAO LOPES"/>
    <x v="0"/>
    <s v="Leticia"/>
    <s v="F"/>
    <n v="5519987655585"/>
    <s v="Novo"/>
    <s v="Cancelado"/>
    <d v="2026-04-19T00:00:00"/>
    <x v="3"/>
  </r>
  <r>
    <d v="2026-04-10T00:00:00"/>
    <d v="2026-04-13T00:00:00"/>
    <d v="2026-04-16T00:00:00"/>
    <s v="HERMELINDO SILVIO JOSE ROMANO"/>
    <x v="2"/>
    <s v="Jéssica"/>
    <s v="F"/>
    <n v="5511981785336"/>
    <s v="Novo"/>
    <s v="Assinado(manual)"/>
    <d v="2026-04-19T00:00:00"/>
    <x v="3"/>
  </r>
  <r>
    <d v="2026-04-10T00:00:00"/>
    <d v="2026-04-13T00:00:00"/>
    <d v="2026-04-16T00:00:00"/>
    <s v="ROBERTO CRUZ"/>
    <x v="0"/>
    <s v="Isabella"/>
    <s v="F"/>
    <n v="5511992301607"/>
    <s v="Novo"/>
    <s v="Assinado"/>
    <d v="2026-04-19T00:00:00"/>
    <x v="3"/>
  </r>
  <r>
    <d v="2026-04-10T00:00:00"/>
    <d v="2026-04-13T00:00:00"/>
    <d v="2026-04-16T00:00:00"/>
    <s v="LUIS HENRIQUE MORASSI DOS SANTOS COSME"/>
    <x v="2"/>
    <s v="John"/>
    <s v="M"/>
    <n v="5511952204109"/>
    <s v="Renovação"/>
    <s v="Na planilha"/>
    <d v="2026-04-19T00:00:00"/>
    <x v="3"/>
  </r>
  <r>
    <d v="2026-04-13T00:00:00"/>
    <d v="2026-04-16T00:00:00"/>
    <d v="2026-04-19T00:00:00"/>
    <s v="JOSIMAR BERTACO DAVID"/>
    <x v="1"/>
    <s v="Jacqueline"/>
    <s v="F"/>
    <n v="5511961219577"/>
    <s v="Novo"/>
    <s v="Cancelado"/>
    <d v="2026-04-22T00:00:00"/>
    <x v="3"/>
  </r>
  <r>
    <d v="2026-04-13T00:00:00"/>
    <d v="2026-04-16T00:00:00"/>
    <d v="2026-04-19T00:00:00"/>
    <s v="DIONIZIO VIEIRA NETO"/>
    <x v="1"/>
    <s v="Leticia"/>
    <s v="F"/>
    <n v="5511993309054"/>
    <s v="Novo"/>
    <s v="Assinado"/>
    <d v="2026-04-22T00:00:00"/>
    <x v="3"/>
  </r>
  <r>
    <d v="2026-04-13T00:00:00"/>
    <d v="2026-04-16T00:00:00"/>
    <d v="2026-04-19T00:00:00"/>
    <s v="AGNALDO RIBEIRO DOS SANTOS"/>
    <x v="1"/>
    <s v="John"/>
    <s v="M"/>
    <n v="5511968265958"/>
    <s v="Renovação"/>
    <s v="Na planilha"/>
    <d v="2026-04-22T00:00:00"/>
    <x v="3"/>
  </r>
  <r>
    <d v="2026-04-13T00:00:00"/>
    <d v="2026-04-16T00:00:00"/>
    <d v="2026-04-19T00:00:00"/>
    <s v="MARLENE PEREIRA JARDIM"/>
    <x v="0"/>
    <s v="John"/>
    <s v="M"/>
    <n v="5511965773449"/>
    <s v="Renovação"/>
    <s v="Assinado"/>
    <d v="2026-04-22T00:00:00"/>
    <x v="3"/>
  </r>
  <r>
    <d v="2026-04-13T00:00:00"/>
    <d v="2026-04-16T00:00:00"/>
    <d v="2026-04-19T00:00:00"/>
    <s v="GIOVANNA DUARTE REZENDE"/>
    <x v="1"/>
    <s v="Jéssica"/>
    <s v="F"/>
    <n v="5511976931443"/>
    <s v="Novo"/>
    <s v="Assinado"/>
    <d v="2026-04-22T00:00:00"/>
    <x v="3"/>
  </r>
  <r>
    <d v="2026-04-13T00:00:00"/>
    <d v="2026-04-16T00:00:00"/>
    <d v="2026-04-19T00:00:00"/>
    <s v="EVELLYN FIORAVANTI MARTINS DE SOUZA"/>
    <x v="1"/>
    <s v="Jacqueline"/>
    <s v="F"/>
    <n v="5511943910370"/>
    <s v="Novo"/>
    <s v="Na planilha"/>
    <d v="2026-04-22T00:00:00"/>
    <x v="3"/>
  </r>
  <r>
    <d v="2026-04-13T00:00:00"/>
    <d v="2026-04-16T00:00:00"/>
    <d v="2026-04-19T00:00:00"/>
    <s v="JOAO VICTOR FIGUEIRA SERAFIM"/>
    <x v="0"/>
    <s v="Jacqueline"/>
    <s v="F"/>
    <n v="5511969267697"/>
    <s v="Novo"/>
    <s v="Assinado"/>
    <d v="2026-04-22T00:00:00"/>
    <x v="3"/>
  </r>
  <r>
    <d v="2026-04-13T00:00:00"/>
    <d v="2026-04-16T00:00:00"/>
    <d v="2026-04-19T00:00:00"/>
    <s v="RICARDO MAROTTI"/>
    <x v="1"/>
    <s v="Jacqueline"/>
    <s v="F"/>
    <n v="5513982259699"/>
    <s v="Novo"/>
    <s v="Assinado"/>
    <d v="2026-04-22T00:00:00"/>
    <x v="3"/>
  </r>
  <r>
    <d v="2026-04-13T00:00:00"/>
    <d v="2026-04-16T00:00:00"/>
    <d v="2026-04-19T00:00:00"/>
    <s v="LEONARDO FONTES DA SILVA"/>
    <x v="0"/>
    <s v="John"/>
    <s v="M"/>
    <n v="5511975688300"/>
    <s v="Novo"/>
    <s v="Assinado"/>
    <d v="2026-04-22T00:00:00"/>
    <x v="3"/>
  </r>
  <r>
    <d v="2026-04-13T00:00:00"/>
    <d v="2026-04-16T00:00:00"/>
    <d v="2026-04-19T00:00:00"/>
    <s v="MARCAL FERNANDES DA SILVEIRA"/>
    <x v="2"/>
    <s v="Myrelle"/>
    <s v="F"/>
    <n v="5511975144791"/>
    <s v="Novo"/>
    <s v="Assinado"/>
    <d v="2026-04-22T00:00:00"/>
    <x v="3"/>
  </r>
  <r>
    <d v="2026-04-14T00:00:00"/>
    <d v="2026-04-17T00:00:00"/>
    <d v="2026-04-20T00:00:00"/>
    <s v="LUCAS COSTA SANTOS TEIXEIRA"/>
    <x v="1"/>
    <s v="John"/>
    <s v="M"/>
    <n v="5513982022457"/>
    <s v="Novo"/>
    <s v="Na planilha"/>
    <d v="2026-04-23T00:00:00"/>
    <x v="3"/>
  </r>
  <r>
    <d v="2026-04-14T00:00:00"/>
    <d v="2026-04-17T00:00:00"/>
    <d v="2026-04-20T00:00:00"/>
    <s v="JOSE GUSTAVO FERREIRA DE ANDRADE"/>
    <x v="0"/>
    <s v="Enzo"/>
    <s v="M"/>
    <n v="5511994311500"/>
    <s v="Novo"/>
    <s v="Assinado"/>
    <d v="2026-04-23T00:00:00"/>
    <x v="3"/>
  </r>
  <r>
    <d v="2026-04-14T00:00:00"/>
    <d v="2026-04-17T00:00:00"/>
    <d v="2026-04-20T00:00:00"/>
    <s v="TONI ANDERSON DE CAMPOS"/>
    <x v="1"/>
    <s v="Enzo"/>
    <s v="M"/>
    <n v="5512991900639"/>
    <s v="Novo"/>
    <s v="Assinado"/>
    <d v="2026-04-23T00:00:00"/>
    <x v="3"/>
  </r>
  <r>
    <d v="2026-04-14T00:00:00"/>
    <d v="2026-04-17T00:00:00"/>
    <d v="2026-04-20T00:00:00"/>
    <s v="ROSIEL LINO DO NASCIMENTO"/>
    <x v="1"/>
    <s v="Enzo"/>
    <s v="M"/>
    <n v="5511947428426"/>
    <s v="Novo"/>
    <s v="Assinado(manual)"/>
    <d v="2026-04-23T00:00:00"/>
    <x v="3"/>
  </r>
  <r>
    <d v="2026-04-14T00:00:00"/>
    <d v="2026-04-17T00:00:00"/>
    <d v="2026-04-20T00:00:00"/>
    <s v="BRUNA DE SOUZA DA SILVA"/>
    <x v="3"/>
    <s v="John"/>
    <s v="M"/>
    <n v="5511962512514"/>
    <s v="Novo"/>
    <s v="Assinado"/>
    <d v="2026-04-23T00:00:00"/>
    <x v="3"/>
  </r>
  <r>
    <d v="2026-04-14T00:00:00"/>
    <d v="2026-04-17T00:00:00"/>
    <d v="2026-04-20T00:00:00"/>
    <s v="RONALDO ANGIOLLETTI AFFONSO"/>
    <x v="3"/>
    <s v="John"/>
    <s v="M"/>
    <n v="5511962512514"/>
    <s v="Novo"/>
    <s v="Na planilha"/>
    <d v="2026-04-23T00:00:00"/>
    <x v="3"/>
  </r>
  <r>
    <d v="2026-04-14T00:00:00"/>
    <d v="2026-04-17T00:00:00"/>
    <d v="2026-04-20T00:00:00"/>
    <s v="CELSO APARECIDO PINTO"/>
    <x v="0"/>
    <s v="Jacqueline"/>
    <s v="F"/>
    <n v="5511964626921"/>
    <s v="Novo"/>
    <s v="Assinado"/>
    <d v="2026-04-23T00:00:00"/>
    <x v="3"/>
  </r>
  <r>
    <d v="2026-04-14T00:00:00"/>
    <d v="2026-04-17T00:00:00"/>
    <d v="2026-04-20T00:00:00"/>
    <s v="KALINE GABRIELI LOPES CORDEIRO"/>
    <x v="0"/>
    <s v="Jacqueline"/>
    <s v="F"/>
    <n v="5514991130767"/>
    <s v="Novo"/>
    <s v="Na planilha"/>
    <d v="2026-04-23T00:00:00"/>
    <x v="3"/>
  </r>
  <r>
    <d v="2026-04-14T00:00:00"/>
    <d v="2026-04-17T00:00:00"/>
    <d v="2026-04-20T00:00:00"/>
    <s v="LUDMILA MOTA VIEIRA DAMASCENO"/>
    <x v="0"/>
    <s v="Jacqueline"/>
    <s v="F"/>
    <n v="5531986067678"/>
    <s v="Novo"/>
    <s v="Assinado"/>
    <d v="2026-04-23T00:00:00"/>
    <x v="3"/>
  </r>
  <r>
    <d v="2026-04-15T00:00:00"/>
    <d v="2026-04-18T00:00:00"/>
    <d v="2026-04-21T00:00:00"/>
    <s v="FRANCISCO VANDI BANDEIRA ALVES"/>
    <x v="2"/>
    <s v="Leticia"/>
    <s v="F"/>
    <n v="5519983334497"/>
    <s v="Novo"/>
    <s v="Assinado"/>
    <d v="2026-04-24T00:00:00"/>
    <x v="3"/>
  </r>
  <r>
    <d v="2026-04-15T00:00:00"/>
    <d v="2026-04-18T00:00:00"/>
    <d v="2026-04-21T00:00:00"/>
    <s v="JOSE ROBERTO POSTIGO"/>
    <x v="0"/>
    <s v="Leticia"/>
    <s v="F"/>
    <n v="5519994049973"/>
    <s v="Novo"/>
    <s v="Assinado"/>
    <d v="2026-04-24T00:00:00"/>
    <x v="3"/>
  </r>
  <r>
    <d v="2026-04-15T00:00:00"/>
    <d v="2026-04-18T00:00:00"/>
    <d v="2026-04-21T00:00:00"/>
    <s v="CRISTIANO ARAUJO DE NOVAES"/>
    <x v="0"/>
    <s v="Leticia"/>
    <s v="F"/>
    <n v="5511911034450"/>
    <s v="Novo"/>
    <s v="Assinado"/>
    <d v="2026-04-24T00:00:00"/>
    <x v="3"/>
  </r>
  <r>
    <d v="2026-04-15T00:00:00"/>
    <d v="2026-04-18T00:00:00"/>
    <d v="2026-04-21T00:00:00"/>
    <s v="ROSANGELA DAS DORES QUIRINO"/>
    <x v="3"/>
    <s v="John"/>
    <s v="M"/>
    <n v="5511957748579"/>
    <s v="Renovação"/>
    <s v="Assinado"/>
    <d v="2026-04-24T00:00:00"/>
    <x v="3"/>
  </r>
  <r>
    <d v="2026-04-15T00:00:00"/>
    <d v="2026-04-18T00:00:00"/>
    <d v="2026-04-21T00:00:00"/>
    <s v="CRISTINA DOS SANTOS REIS"/>
    <x v="2"/>
    <s v="John"/>
    <s v="M"/>
    <n v="5511959524674"/>
    <s v="Renovação"/>
    <s v="Na planilha"/>
    <d v="2026-04-24T00:00:00"/>
    <x v="3"/>
  </r>
  <r>
    <d v="2026-04-15T00:00:00"/>
    <d v="2026-04-18T00:00:00"/>
    <d v="2026-04-21T00:00:00"/>
    <s v="JOSIVAN DE SOUSA CRUZ"/>
    <x v="1"/>
    <s v="Myrelle"/>
    <s v="F"/>
    <n v="5577998487892"/>
    <s v="Novo"/>
    <s v="Assinado"/>
    <d v="2026-04-24T00:00:00"/>
    <x v="3"/>
  </r>
  <r>
    <d v="2026-04-15T00:00:00"/>
    <d v="2026-04-18T00:00:00"/>
    <d v="2026-04-21T00:00:00"/>
    <s v="ANA PAULA NAGATA"/>
    <x v="2"/>
    <s v="Enzo"/>
    <s v="M"/>
    <n v="5515997555416"/>
    <s v="Novo"/>
    <s v="Assinado"/>
    <d v="2026-04-24T00:00:00"/>
    <x v="3"/>
  </r>
  <r>
    <d v="2026-04-15T00:00:00"/>
    <d v="2026-04-18T00:00:00"/>
    <d v="2026-04-21T00:00:00"/>
    <s v="ANDRE LUIZ PEREIRA"/>
    <x v="0"/>
    <s v="Jacqueline"/>
    <s v="F"/>
    <n v="5511997677058"/>
    <s v="Novo"/>
    <s v="Assinado"/>
    <d v="2026-04-24T00:00:00"/>
    <x v="3"/>
  </r>
  <r>
    <d v="2026-04-15T00:00:00"/>
    <d v="2026-04-18T00:00:00"/>
    <d v="2026-04-21T00:00:00"/>
    <s v="CLAIRE RIBEIRO DE ARAUJO GALDINO"/>
    <x v="2"/>
    <s v="John"/>
    <s v="M"/>
    <n v="5511964278174"/>
    <s v="Novo"/>
    <s v="Na planilha"/>
    <d v="2026-04-24T00:00:00"/>
    <x v="3"/>
  </r>
  <r>
    <d v="2026-04-15T00:00:00"/>
    <d v="2026-04-18T00:00:00"/>
    <d v="2026-04-21T00:00:00"/>
    <s v="EVANDRO RODRIGUES LIMA DE JESUS"/>
    <x v="0"/>
    <s v="John"/>
    <s v="M"/>
    <n v="5511948390903"/>
    <s v="Renovação"/>
    <s v="Assinado"/>
    <d v="2026-04-24T00:00:00"/>
    <x v="3"/>
  </r>
  <r>
    <d v="2026-04-15T00:00:00"/>
    <d v="2026-04-18T00:00:00"/>
    <d v="2026-04-21T00:00:00"/>
    <s v="ARIVAN JOSE DA COSTA"/>
    <x v="2"/>
    <s v="Myrelle"/>
    <s v="F"/>
    <n v="5511966936911"/>
    <s v="Novo"/>
    <s v="Assinado(manual)"/>
    <d v="2026-04-24T00:00:00"/>
    <x v="3"/>
  </r>
  <r>
    <d v="2026-04-16T00:00:00"/>
    <d v="2026-04-19T00:00:00"/>
    <d v="2026-04-22T00:00:00"/>
    <s v="IGOR BAENA DE OLIVEIRA DA SILVA"/>
    <x v="0"/>
    <s v="Jacqueline"/>
    <s v="F"/>
    <n v="5515996747789"/>
    <s v="Novo"/>
    <s v="Assinado"/>
    <d v="2026-04-25T00:00:00"/>
    <x v="3"/>
  </r>
  <r>
    <d v="2026-04-16T00:00:00"/>
    <d v="2026-04-19T00:00:00"/>
    <d v="2026-04-22T00:00:00"/>
    <s v="DORIVAL DOS SANTOS DEVEZA"/>
    <x v="7"/>
    <s v="Leticia"/>
    <s v="F"/>
    <n v="5513982266210"/>
    <s v="Novo"/>
    <s v="Cancelado"/>
    <d v="2026-04-25T00:00:00"/>
    <x v="3"/>
  </r>
  <r>
    <d v="2026-04-16T00:00:00"/>
    <d v="2026-04-19T00:00:00"/>
    <d v="2026-04-22T00:00:00"/>
    <s v="JAIR GERALDO DOS SANTOS"/>
    <x v="5"/>
    <s v="Leticia"/>
    <s v="F"/>
    <n v="5511944857460"/>
    <s v="Novo"/>
    <s v="Assinado"/>
    <d v="2026-04-25T00:00:00"/>
    <x v="3"/>
  </r>
  <r>
    <d v="2026-04-16T00:00:00"/>
    <d v="2026-04-19T00:00:00"/>
    <d v="2026-04-22T00:00:00"/>
    <s v="JOSE MARIA DE SOUZA"/>
    <x v="2"/>
    <s v="Leticia"/>
    <s v="F"/>
    <n v="5511995753700"/>
    <s v="Novo"/>
    <s v="Na planilha"/>
    <d v="2026-04-25T00:00:00"/>
    <x v="3"/>
  </r>
  <r>
    <d v="2026-04-16T00:00:00"/>
    <d v="2026-04-19T00:00:00"/>
    <d v="2026-04-22T00:00:00"/>
    <s v="ANTONIO CARLOS PEREIRA ALVES"/>
    <x v="0"/>
    <s v="John"/>
    <s v="M"/>
    <n v="5574999321776"/>
    <s v="Novo"/>
    <s v="Assinado"/>
    <d v="2026-04-25T00:00:00"/>
    <x v="3"/>
  </r>
  <r>
    <d v="2026-04-17T00:00:00"/>
    <d v="2026-04-20T00:00:00"/>
    <d v="2026-04-23T00:00:00"/>
    <s v="THIAGO DE URZEDO OCTAVIO"/>
    <x v="2"/>
    <s v="Jéssica"/>
    <s v="F"/>
    <n v="5511940348025"/>
    <s v="Novo"/>
    <s v="Assinado"/>
    <d v="2026-04-26T00:00:00"/>
    <x v="3"/>
  </r>
  <r>
    <d v="2026-04-17T00:00:00"/>
    <d v="2026-04-20T00:00:00"/>
    <d v="2026-04-23T00:00:00"/>
    <s v="EDSON PEREIRA GOMES"/>
    <x v="1"/>
    <s v="Isabella"/>
    <s v="F"/>
    <n v="5564984088963"/>
    <s v="Novo"/>
    <s v="Assinado"/>
    <d v="2026-04-26T00:00:00"/>
    <x v="3"/>
  </r>
  <r>
    <d v="2026-04-17T00:00:00"/>
    <d v="2026-04-20T00:00:00"/>
    <d v="2026-04-23T00:00:00"/>
    <s v="EMERSON CANDIDO DE SOUZA"/>
    <x v="2"/>
    <s v="Isabella"/>
    <s v="F"/>
    <n v="5518981402628"/>
    <s v="Novo"/>
    <s v="Cancelado"/>
    <d v="2026-04-26T00:00:00"/>
    <x v="3"/>
  </r>
  <r>
    <d v="2026-04-17T00:00:00"/>
    <d v="2026-04-20T00:00:00"/>
    <d v="2026-04-23T00:00:00"/>
    <s v="CLEBER PETRONE"/>
    <x v="3"/>
    <s v="Jacqueline"/>
    <s v="F"/>
    <n v="5517981431727"/>
    <s v="Novo"/>
    <s v="Assinado"/>
    <d v="2026-04-26T00:00:00"/>
    <x v="3"/>
  </r>
  <r>
    <d v="2026-04-17T00:00:00"/>
    <d v="2026-04-20T00:00:00"/>
    <d v="2026-04-23T00:00:00"/>
    <s v="CLEBER PETRONE"/>
    <x v="3"/>
    <s v="Jacqueline"/>
    <s v="F"/>
    <n v="5517981431727"/>
    <s v="Novo"/>
    <s v="Assinado"/>
    <d v="2026-04-26T00:00:00"/>
    <x v="3"/>
  </r>
  <r>
    <d v="2026-04-17T00:00:00"/>
    <d v="2026-04-20T00:00:00"/>
    <d v="2026-04-23T00:00:00"/>
    <s v="CARLOS ROBERTO COSME"/>
    <x v="2"/>
    <s v="John"/>
    <s v="M"/>
    <n v="5511991752123"/>
    <s v="Novo"/>
    <s v="Assinado"/>
    <d v="2026-04-26T00:00:00"/>
    <x v="3"/>
  </r>
  <r>
    <d v="2026-04-17T00:00:00"/>
    <d v="2026-04-20T00:00:00"/>
    <d v="2026-04-23T00:00:00"/>
    <s v="HELIO GUIMARAES REIS"/>
    <x v="0"/>
    <s v="John"/>
    <s v="M"/>
    <n v="5511972859131"/>
    <s v="Novo"/>
    <s v="Na planilha"/>
    <d v="2026-04-26T00:00:00"/>
    <x v="3"/>
  </r>
  <r>
    <d v="2026-04-17T00:00:00"/>
    <d v="2026-04-20T00:00:00"/>
    <d v="2026-04-23T00:00:00"/>
    <s v="GASPAR JOSE DA SILVA"/>
    <x v="0"/>
    <s v="John"/>
    <s v="M"/>
    <n v="5516988747432"/>
    <s v="Novo"/>
    <s v="Assinado"/>
    <d v="2026-04-26T00:00:00"/>
    <x v="3"/>
  </r>
  <r>
    <d v="2026-04-17T00:00:00"/>
    <d v="2026-04-20T00:00:00"/>
    <d v="2026-04-23T00:00:00"/>
    <s v="ANDREY ALMEIDA ARAUJO"/>
    <x v="1"/>
    <s v="Jacqueline"/>
    <s v="F"/>
    <n v="5599985445569"/>
    <s v="Novo"/>
    <s v="Cancelado"/>
    <d v="2026-04-26T00:00:00"/>
    <x v="3"/>
  </r>
  <r>
    <d v="2026-04-20T00:00:00"/>
    <d v="2026-04-23T00:00:00"/>
    <d v="2026-04-26T00:00:00"/>
    <s v="VALDIR ANTONIO DE SOUZA FARIAS"/>
    <x v="0"/>
    <s v="John"/>
    <s v="M"/>
    <n v="5511988282326"/>
    <s v="Novo"/>
    <s v="Assinado"/>
    <d v="2026-04-29T00:00:00"/>
    <x v="3"/>
  </r>
  <r>
    <d v="2026-04-20T00:00:00"/>
    <d v="2026-04-23T00:00:00"/>
    <d v="2026-04-26T00:00:00"/>
    <s v="ANTONIO FRANCISCO DE LIMA"/>
    <x v="2"/>
    <s v="John"/>
    <s v="M"/>
    <n v="5515992549510"/>
    <s v="Renovação"/>
    <s v="Assinado"/>
    <d v="2026-04-29T00:00:00"/>
    <x v="3"/>
  </r>
  <r>
    <d v="2026-04-20T00:00:00"/>
    <d v="2026-04-23T00:00:00"/>
    <d v="2026-04-26T00:00:00"/>
    <s v="JAQUISON ASSIS SANTOS PEREIRA"/>
    <x v="2"/>
    <s v="Jéssica"/>
    <s v="F"/>
    <n v="5511961321337"/>
    <s v="Novo"/>
    <s v="Assinado"/>
    <d v="2026-04-29T00:00:00"/>
    <x v="3"/>
  </r>
  <r>
    <d v="2026-04-20T00:00:00"/>
    <d v="2026-04-23T00:00:00"/>
    <d v="2026-04-26T00:00:00"/>
    <s v="CLAUDIO DOS SANTOS ALMEIDA"/>
    <x v="1"/>
    <s v="Leticia"/>
    <s v="F"/>
    <n v="5511960457293"/>
    <s v="Novo"/>
    <s v="Assinado"/>
    <d v="2026-04-29T00:00:00"/>
    <x v="3"/>
  </r>
  <r>
    <d v="2026-04-22T00:00:00"/>
    <d v="2026-04-25T00:00:00"/>
    <d v="2026-04-28T00:00:00"/>
    <s v="RENATO STAIANOV NOVELLI"/>
    <x v="3"/>
    <s v="John"/>
    <s v="M"/>
    <n v="5511970947064"/>
    <s v="Renovação"/>
    <s v="Assinado"/>
    <d v="2026-05-02T00:00:00"/>
    <x v="3"/>
  </r>
  <r>
    <d v="2026-04-22T00:00:00"/>
    <d v="2026-04-25T00:00:00"/>
    <d v="2026-04-28T00:00:00"/>
    <s v="WILTON DE JESUS PASSOS"/>
    <x v="2"/>
    <s v="Enzo"/>
    <s v="M"/>
    <n v="5511980337842"/>
    <s v="Novo"/>
    <s v="Cancelado"/>
    <d v="2026-05-02T00:00:00"/>
    <x v="3"/>
  </r>
  <r>
    <d v="2026-04-22T00:00:00"/>
    <d v="2026-04-25T00:00:00"/>
    <d v="2026-04-28T00:00:00"/>
    <s v="VANESSA CRISTINA ROCHA DE ASSIS"/>
    <x v="2"/>
    <s v="John"/>
    <s v="M"/>
    <n v="5511995588292"/>
    <s v="Renovação"/>
    <s v="Assinado"/>
    <d v="2026-05-02T00:00:00"/>
    <x v="3"/>
  </r>
  <r>
    <d v="2026-04-22T00:00:00"/>
    <d v="2026-04-25T00:00:00"/>
    <d v="2026-04-28T00:00:00"/>
    <s v="ARON DE FREITAS CUNHA"/>
    <x v="1"/>
    <s v="John"/>
    <s v="M"/>
    <n v="5511972042512"/>
    <s v="Renovação"/>
    <s v="Cancelado"/>
    <d v="2026-05-02T00:00:00"/>
    <x v="3"/>
  </r>
  <r>
    <d v="2026-04-22T00:00:00"/>
    <d v="2026-04-25T00:00:00"/>
    <d v="2026-04-28T00:00:00"/>
    <s v="MARCOS ANTONIO MUNHOZ DE MOURA"/>
    <x v="3"/>
    <s v="John"/>
    <s v="M"/>
    <n v="5511959439198"/>
    <s v="Novo"/>
    <s v="Assinado"/>
    <d v="2026-05-02T00:00:00"/>
    <x v="3"/>
  </r>
  <r>
    <d v="2026-04-22T00:00:00"/>
    <d v="2026-04-25T00:00:00"/>
    <d v="2026-04-28T00:00:00"/>
    <s v="VANDERLICIA SILVA DE OLIVEIRA"/>
    <x v="0"/>
    <s v="Isabella"/>
    <s v="F"/>
    <n v="5516997720044"/>
    <s v="Novo"/>
    <s v="Assinado"/>
    <d v="2026-05-02T00:00:00"/>
    <x v="3"/>
  </r>
  <r>
    <d v="2026-04-22T00:00:00"/>
    <d v="2026-04-25T00:00:00"/>
    <d v="2026-04-28T00:00:00"/>
    <s v="MARIA NATALETE SELES"/>
    <x v="3"/>
    <s v="John"/>
    <s v="M"/>
    <n v="5511988369175"/>
    <s v="Renovação"/>
    <s v="Na planilha"/>
    <d v="2026-05-02T00:00:00"/>
    <x v="3"/>
  </r>
  <r>
    <d v="2026-04-22T00:00:00"/>
    <d v="2026-04-25T00:00:00"/>
    <d v="2026-04-28T00:00:00"/>
    <s v="MARCIA REGINA TRESTINO"/>
    <x v="0"/>
    <s v="Jéssica"/>
    <s v="F"/>
    <n v="5517996750495"/>
    <s v="Novo"/>
    <s v="Na planilha"/>
    <d v="2026-05-02T00:00:00"/>
    <x v="3"/>
  </r>
  <r>
    <d v="2026-04-22T00:00:00"/>
    <d v="2026-04-25T00:00:00"/>
    <d v="2026-04-28T00:00:00"/>
    <s v="BEATRIZ CURSINO NAKAMURA"/>
    <x v="1"/>
    <s v="Jéssica"/>
    <s v="F"/>
    <n v="5512997037894"/>
    <s v="Novo"/>
    <s v="Assinado"/>
    <d v="2026-05-02T00:00:00"/>
    <x v="3"/>
  </r>
  <r>
    <d v="2026-04-22T00:00:00"/>
    <d v="2026-04-25T00:00:00"/>
    <d v="2026-04-28T00:00:00"/>
    <s v="FERNANDA LIMA BERCI GONCALVES"/>
    <x v="0"/>
    <s v="Jéssica"/>
    <s v="F"/>
    <n v="5511965047281"/>
    <s v="Novo"/>
    <s v="Assinado"/>
    <d v="2026-05-02T00:00:00"/>
    <x v="3"/>
  </r>
  <r>
    <d v="2026-04-22T00:00:00"/>
    <d v="2026-04-25T00:00:00"/>
    <d v="2026-04-28T00:00:00"/>
    <s v="LUIZ AIRES DE FREITAS"/>
    <x v="4"/>
    <s v="Leticia"/>
    <s v="F"/>
    <n v="5511978223180"/>
    <s v="Novo"/>
    <s v="Cancelado"/>
    <d v="2026-05-02T00:00:00"/>
    <x v="3"/>
  </r>
  <r>
    <d v="2026-04-23T00:00:00"/>
    <d v="2026-04-26T00:00:00"/>
    <d v="2026-04-29T00:00:00"/>
    <s v="IZABEL CRISTINA DE ANDRADE"/>
    <x v="0"/>
    <s v="Isabella"/>
    <s v="F"/>
    <n v="5514996493025"/>
    <s v="Novo"/>
    <s v="Assinado"/>
    <d v="2026-05-03T00:00:00"/>
    <x v="3"/>
  </r>
  <r>
    <d v="2026-04-23T00:00:00"/>
    <d v="2026-04-26T00:00:00"/>
    <d v="2026-04-29T00:00:00"/>
    <s v="BRUNO ARAKI DOS SANTOS"/>
    <x v="1"/>
    <s v="Isabella"/>
    <s v="F"/>
    <n v="5511953985800"/>
    <s v="Novo"/>
    <s v="Na planilha"/>
    <d v="2026-05-03T00:00:00"/>
    <x v="3"/>
  </r>
  <r>
    <d v="2026-04-23T00:00:00"/>
    <d v="2026-04-26T00:00:00"/>
    <d v="2026-04-29T00:00:00"/>
    <s v="ROGERIO LIMA DO NASCIMENTO"/>
    <x v="9"/>
    <s v="Isabella"/>
    <s v="F"/>
    <n v="5511987524363"/>
    <s v="Novo"/>
    <s v="Assinado"/>
    <d v="2026-05-03T00:00:00"/>
    <x v="3"/>
  </r>
  <r>
    <d v="2026-04-23T00:00:00"/>
    <d v="2026-04-26T00:00:00"/>
    <d v="2026-04-29T00:00:00"/>
    <s v="EDIPO FERNANDO HERCULANO DA SILVA"/>
    <x v="2"/>
    <s v="John"/>
    <s v="M"/>
    <n v="5511987908831"/>
    <s v="Novo"/>
    <s v="Na planilha"/>
    <d v="2026-05-03T00:00:00"/>
    <x v="3"/>
  </r>
  <r>
    <d v="2026-04-23T00:00:00"/>
    <d v="2026-04-26T00:00:00"/>
    <d v="2026-04-29T00:00:00"/>
    <s v="CARLOS AUGUSTO BENTO BURKERT"/>
    <x v="3"/>
    <s v="Leticia"/>
    <s v="F"/>
    <n v="5511977179121"/>
    <s v="Novo"/>
    <s v="Assinado(manual)"/>
    <d v="2026-05-03T00:00:00"/>
    <x v="3"/>
  </r>
  <r>
    <d v="2026-04-23T00:00:00"/>
    <d v="2026-04-26T00:00:00"/>
    <d v="2026-04-29T00:00:00"/>
    <s v="LEANDRO MENEZES BATISTA"/>
    <x v="1"/>
    <s v="Leticia"/>
    <s v="F"/>
    <n v="5511980569594"/>
    <s v="Novo"/>
    <s v="Assinado"/>
    <d v="2026-05-03T00:00:00"/>
    <x v="3"/>
  </r>
  <r>
    <d v="2026-04-23T00:00:00"/>
    <d v="2026-04-26T00:00:00"/>
    <d v="2026-04-29T00:00:00"/>
    <s v="ANDREY ALMEIDA ARAUJO"/>
    <x v="9"/>
    <s v="Jacqueline"/>
    <s v="F"/>
    <n v="5599985445569"/>
    <s v="Novo"/>
    <s v="Assinado"/>
    <d v="2026-05-03T00:00:00"/>
    <x v="3"/>
  </r>
  <r>
    <d v="2026-04-23T00:00:00"/>
    <d v="2026-04-26T00:00:00"/>
    <d v="2026-04-29T00:00:00"/>
    <s v="CICERO LEITE DA SILVA"/>
    <x v="2"/>
    <s v="Myrelle"/>
    <s v="F"/>
    <n v="5511984875118"/>
    <s v="Novo"/>
    <s v="Assinado"/>
    <d v="2026-05-03T00:00:00"/>
    <x v="3"/>
  </r>
  <r>
    <d v="2026-04-23T00:00:00"/>
    <d v="2026-04-26T00:00:00"/>
    <d v="2026-04-29T00:00:00"/>
    <s v="MARCIA FERREIRA DA SILVA"/>
    <x v="1"/>
    <s v="Jacqueline"/>
    <s v="F"/>
    <n v="5519983874126"/>
    <s v="Novo"/>
    <s v="Assinado"/>
    <d v="2026-05-03T00:00:00"/>
    <x v="3"/>
  </r>
  <r>
    <d v="2026-04-23T00:00:00"/>
    <d v="2026-04-26T00:00:00"/>
    <d v="2026-04-29T00:00:00"/>
    <s v="GUILHERME RODRIGUES DE OLIVEIRA"/>
    <x v="0"/>
    <s v="Isabella"/>
    <s v="F"/>
    <n v="5511962449205"/>
    <s v="Novo"/>
    <s v="Na planilha"/>
    <d v="2026-05-03T00:00:00"/>
    <x v="3"/>
  </r>
  <r>
    <d v="2026-04-23T00:00:00"/>
    <d v="2026-04-26T00:00:00"/>
    <d v="2026-04-29T00:00:00"/>
    <s v="LUCAS ELIANDRO DE ARAUJO"/>
    <x v="0"/>
    <s v="Jacqueline"/>
    <s v="F"/>
    <n v="5511986733854"/>
    <s v="Novo"/>
    <s v="Assinado"/>
    <d v="2026-05-03T00:00:00"/>
    <x v="3"/>
  </r>
  <r>
    <d v="2026-04-24T00:00:00"/>
    <d v="2026-04-27T00:00:00"/>
    <d v="2026-04-30T00:00:00"/>
    <s v="MARIANA CASSIMIRO NASCIMENTO"/>
    <x v="1"/>
    <s v="Jacqueline"/>
    <s v="F"/>
    <n v="5511966568863"/>
    <s v="Novo"/>
    <s v="Na planilha"/>
    <d v="2026-05-04T00:00:00"/>
    <x v="3"/>
  </r>
  <r>
    <d v="2026-04-24T00:00:00"/>
    <d v="2026-04-27T00:00:00"/>
    <d v="2026-04-30T00:00:00"/>
    <s v="RICARDO MATHEUS DOS SANTOS"/>
    <x v="0"/>
    <s v="Jacqueline"/>
    <s v="F"/>
    <n v="5511960121314"/>
    <s v="Novo"/>
    <s v="Assinado"/>
    <d v="2026-05-04T00:00:00"/>
    <x v="3"/>
  </r>
  <r>
    <d v="2026-04-24T00:00:00"/>
    <d v="2026-04-27T00:00:00"/>
    <d v="2026-04-30T00:00:00"/>
    <s v="CASSIO AFONSO GOZZO"/>
    <x v="2"/>
    <s v="Leticia"/>
    <s v="F"/>
    <n v="5511968688053"/>
    <s v="Novo"/>
    <s v="Erro"/>
    <d v="2026-05-04T00:00:00"/>
    <x v="3"/>
  </r>
  <r>
    <d v="2026-04-24T00:00:00"/>
    <d v="2026-04-27T00:00:00"/>
    <d v="2026-04-30T00:00:00"/>
    <s v="JOSE AUGUSTO SOARES"/>
    <x v="3"/>
    <s v="Leticia"/>
    <s v="F"/>
    <n v="5583986847232"/>
    <s v="Novo"/>
    <s v="Assinado"/>
    <d v="2026-05-04T00:00:00"/>
    <x v="3"/>
  </r>
  <r>
    <d v="2026-04-24T00:00:00"/>
    <d v="2026-04-27T00:00:00"/>
    <d v="2026-04-30T00:00:00"/>
    <s v="ROGERIO CAJA SARMENTO"/>
    <x v="0"/>
    <s v="Myrelle"/>
    <s v="F"/>
    <n v="5511982625331"/>
    <s v="Novo"/>
    <s v="Assinado"/>
    <d v="2026-05-04T00:00:00"/>
    <x v="3"/>
  </r>
  <r>
    <d v="2026-04-24T00:00:00"/>
    <d v="2026-04-27T00:00:00"/>
    <d v="2026-04-30T00:00:00"/>
    <s v="IVANILDO BONFIM DE OLIVEIRA"/>
    <x v="10"/>
    <s v="John"/>
    <s v="M"/>
    <n v="5515998304248"/>
    <s v="Novo"/>
    <s v="Assinado"/>
    <d v="2026-05-04T00:00:00"/>
    <x v="3"/>
  </r>
  <r>
    <d v="2026-04-24T00:00:00"/>
    <d v="2026-04-27T00:00:00"/>
    <d v="2026-04-30T00:00:00"/>
    <s v="EDSON NUNES DOS SANTOS"/>
    <x v="3"/>
    <s v="John"/>
    <s v="M"/>
    <n v="5511942707425"/>
    <s v="Novo"/>
    <s v="Assinado"/>
    <d v="2026-05-04T00:00:00"/>
    <x v="3"/>
  </r>
  <r>
    <d v="2026-04-24T00:00:00"/>
    <d v="2026-04-27T00:00:00"/>
    <d v="2026-04-30T00:00:00"/>
    <s v="LINCOLN JOSE SITTA"/>
    <x v="9"/>
    <s v="Jacqueline"/>
    <s v="F"/>
    <n v="5511991463351"/>
    <s v="Novo"/>
    <s v="Assinado"/>
    <d v="2026-05-04T00:00:00"/>
    <x v="3"/>
  </r>
  <r>
    <d v="2026-04-27T00:00:00"/>
    <d v="2026-04-30T00:00:00"/>
    <d v="2026-04-03T00:00:00"/>
    <s v="ROLIELLE FERREIRA DA CUNHA"/>
    <x v="1"/>
    <s v="Myrelle"/>
    <s v="F"/>
    <n v="5511947229118"/>
    <s v="Novo"/>
    <s v="Cancelado"/>
    <d v="2026-05-06T00:00:00"/>
    <x v="3"/>
  </r>
  <r>
    <d v="2026-04-27T00:00:00"/>
    <d v="2026-04-30T00:00:00"/>
    <d v="2026-04-03T00:00:00"/>
    <s v="ELISANGELA DIAS DOS SANTOS"/>
    <x v="3"/>
    <s v="Leticia"/>
    <s v="F"/>
    <n v="5511981552029"/>
    <s v="Novo"/>
    <s v="Assinado"/>
    <d v="2026-05-06T00:00:00"/>
    <x v="3"/>
  </r>
  <r>
    <d v="2026-04-27T00:00:00"/>
    <d v="2026-04-30T00:00:00"/>
    <d v="2026-04-03T00:00:00"/>
    <s v="DORIVAL DOS SANTOS DEVEZA"/>
    <x v="5"/>
    <s v="Leticia"/>
    <s v="F"/>
    <n v="5513982266210"/>
    <s v="Novo"/>
    <s v="Assinado"/>
    <d v="2026-05-06T00:00:00"/>
    <x v="3"/>
  </r>
  <r>
    <d v="2026-04-27T00:00:00"/>
    <d v="2026-04-30T00:00:00"/>
    <d v="2026-04-03T00:00:00"/>
    <s v="RUBENS COSTA JUNIOR"/>
    <x v="2"/>
    <s v="Leticia"/>
    <s v="F"/>
    <n v="5515981294911"/>
    <s v="Novo"/>
    <s v="Assinado"/>
    <d v="2026-05-06T00:00:00"/>
    <x v="3"/>
  </r>
  <r>
    <d v="2026-04-27T00:00:00"/>
    <d v="2026-04-30T00:00:00"/>
    <d v="2026-04-03T00:00:00"/>
    <s v="JULIA DA CONCEICAO SILVA"/>
    <x v="1"/>
    <s v="John"/>
    <s v="M"/>
    <n v="5511992162049"/>
    <s v="Novo"/>
    <s v="Erro"/>
    <d v="2026-05-06T00:00:00"/>
    <x v="3"/>
  </r>
  <r>
    <d v="2026-04-27T00:00:00"/>
    <d v="2026-04-30T00:00:00"/>
    <d v="2026-04-03T00:00:00"/>
    <s v="DANIEL FERREIRA DE SOUZA"/>
    <x v="0"/>
    <s v="John"/>
    <s v="M"/>
    <n v="5513974089793"/>
    <s v="Novo"/>
    <s v="Assinado"/>
    <d v="2026-05-06T00:00:00"/>
    <x v="3"/>
  </r>
  <r>
    <d v="2026-04-27T00:00:00"/>
    <d v="2026-04-30T00:00:00"/>
    <d v="2026-04-03T00:00:00"/>
    <s v="THIAGO DE LIMA DIAS"/>
    <x v="0"/>
    <s v="John"/>
    <s v="M"/>
    <n v="5511977926561"/>
    <s v="Novo"/>
    <s v="Na planilha"/>
    <d v="2026-05-06T00:00:00"/>
    <x v="3"/>
  </r>
  <r>
    <d v="2026-04-27T00:00:00"/>
    <d v="2026-04-30T00:00:00"/>
    <d v="2026-04-03T00:00:00"/>
    <s v="ELIZABETE SILVA PERES"/>
    <x v="5"/>
    <s v="Isabella"/>
    <s v="F"/>
    <n v="5514998209069"/>
    <s v="Novo"/>
    <s v="Na planilha"/>
    <d v="2026-05-06T00:00:00"/>
    <x v="3"/>
  </r>
  <r>
    <d v="2026-04-27T00:00:00"/>
    <d v="2026-04-30T00:00:00"/>
    <d v="2026-04-03T00:00:00"/>
    <s v="ISMAEL PEREIRA DA SILVA"/>
    <x v="5"/>
    <s v="John"/>
    <s v="M"/>
    <n v="5511963230410"/>
    <s v="Novo"/>
    <s v="Assinado"/>
    <d v="2026-05-06T00:00:00"/>
    <x v="3"/>
  </r>
  <r>
    <d v="2026-04-28T00:00:00"/>
    <d v="2026-05-01T00:00:00"/>
    <d v="2026-05-04T00:00:00"/>
    <s v="JOSE GERALDO DE MATOS"/>
    <x v="0"/>
    <s v="Jacqueline"/>
    <s v="F"/>
    <n v="5511958054447"/>
    <s v="Novo"/>
    <s v="Assinado"/>
    <d v="2026-05-07T00:00:00"/>
    <x v="3"/>
  </r>
  <r>
    <d v="2026-04-28T00:00:00"/>
    <d v="2026-05-01T00:00:00"/>
    <d v="2026-05-04T00:00:00"/>
    <s v="FRANCALINO ALVES BEZERRA"/>
    <x v="1"/>
    <s v="John"/>
    <s v="M"/>
    <n v="5511942715424"/>
    <s v="Novo"/>
    <s v="Assinado"/>
    <d v="2026-05-07T00:00:00"/>
    <x v="3"/>
  </r>
  <r>
    <d v="2026-04-28T00:00:00"/>
    <d v="2026-05-01T00:00:00"/>
    <d v="2026-05-04T00:00:00"/>
    <s v="RAFAEL MIYASATO"/>
    <x v="2"/>
    <s v="John"/>
    <s v="M"/>
    <n v="5511965983184"/>
    <s v="Novo"/>
    <s v="Assinado"/>
    <d v="2026-05-07T00:00:00"/>
    <x v="3"/>
  </r>
  <r>
    <d v="2026-04-28T00:00:00"/>
    <d v="2026-05-01T00:00:00"/>
    <d v="2026-05-04T00:00:00"/>
    <s v="ANSELMO TEIXEIRA DA SILVA"/>
    <x v="2"/>
    <s v="Leticia"/>
    <s v="F"/>
    <n v="5511986214041"/>
    <s v="Novo"/>
    <s v="Assinado"/>
    <d v="2026-05-07T00:00:00"/>
    <x v="3"/>
  </r>
  <r>
    <d v="2026-04-28T00:00:00"/>
    <d v="2026-05-01T00:00:00"/>
    <d v="2026-05-04T00:00:00"/>
    <s v="ANTONIO MARCOS RODRIGUES DOS SANTOS"/>
    <x v="0"/>
    <s v="Leticia"/>
    <s v="F"/>
    <n v="5511918745882"/>
    <s v="Novo"/>
    <s v="Erro"/>
    <d v="2026-05-07T00:00:00"/>
    <x v="3"/>
  </r>
  <r>
    <d v="2026-04-28T00:00:00"/>
    <d v="2026-05-01T00:00:00"/>
    <d v="2026-05-04T00:00:00"/>
    <s v="BELMIRO DE OLIVEIRA CAMARGO"/>
    <x v="3"/>
    <s v="John"/>
    <s v="M"/>
    <n v="5511984835980"/>
    <s v="Renovação"/>
    <s v="Assinado"/>
    <d v="2026-05-07T00:00:00"/>
    <x v="3"/>
  </r>
  <r>
    <d v="2026-04-28T00:00:00"/>
    <d v="2026-05-01T00:00:00"/>
    <d v="2026-05-04T00:00:00"/>
    <s v="LUIZ AIRES DE FREITAS"/>
    <x v="4"/>
    <s v="Leticia"/>
    <s v="F"/>
    <n v="5511978223180"/>
    <s v="Novo"/>
    <s v="Na planilha"/>
    <d v="2026-05-07T00:00:00"/>
    <x v="3"/>
  </r>
  <r>
    <d v="2026-04-28T00:00:00"/>
    <d v="2026-05-01T00:00:00"/>
    <d v="2026-05-04T00:00:00"/>
    <s v="ADENILTON SILVA DE JESUS"/>
    <x v="1"/>
    <s v="Leticia"/>
    <s v="F"/>
    <n v="5511985938553"/>
    <s v="Novo"/>
    <s v="Assinado"/>
    <d v="2026-05-07T00:00:00"/>
    <x v="3"/>
  </r>
  <r>
    <d v="2026-04-28T00:00:00"/>
    <d v="2026-05-01T00:00:00"/>
    <d v="2026-05-04T00:00:00"/>
    <s v="WILLIAM BRAGA SALVIONE"/>
    <x v="0"/>
    <s v="Jacqueline"/>
    <s v="F"/>
    <n v="5511989402141"/>
    <s v="Novo"/>
    <s v="Assinado"/>
    <d v="2026-05-07T00:00:00"/>
    <x v="3"/>
  </r>
  <r>
    <d v="2026-04-28T00:00:00"/>
    <d v="2026-05-01T00:00:00"/>
    <d v="2026-05-04T00:00:00"/>
    <s v="CARLOS ALBERTO MENDES"/>
    <x v="0"/>
    <s v="Jacqueline"/>
    <s v="F"/>
    <n v="5521994343086"/>
    <s v="Novo"/>
    <s v="Assinado"/>
    <d v="2026-05-07T00:00:00"/>
    <x v="3"/>
  </r>
  <r>
    <d v="2026-04-28T00:00:00"/>
    <d v="2026-05-01T00:00:00"/>
    <d v="2026-05-04T00:00:00"/>
    <s v="ALEX GOMES DO REGO"/>
    <x v="0"/>
    <s v="John"/>
    <s v="M"/>
    <n v="551969389184"/>
    <s v="Novo"/>
    <s v="Na planilha"/>
    <d v="2026-05-07T00:00:00"/>
    <x v="3"/>
  </r>
  <r>
    <d v="2026-04-29T00:00:00"/>
    <d v="2026-05-02T00:00:00"/>
    <d v="2026-05-05T00:00:00"/>
    <s v="JULIANA DE SOUZA NASCIMENTO"/>
    <x v="2"/>
    <s v="Leticia"/>
    <s v="F"/>
    <n v="5511951462361"/>
    <s v="Novo"/>
    <s v="Assinado"/>
    <d v="2026-05-08T00:00:00"/>
    <x v="3"/>
  </r>
  <r>
    <d v="2026-04-29T00:00:00"/>
    <d v="2026-05-02T00:00:00"/>
    <d v="2026-05-05T00:00:00"/>
    <s v="ISABELLA SERRA SOUZA"/>
    <x v="1"/>
    <s v="Pamela"/>
    <s v="F"/>
    <n v="5511944466013"/>
    <s v="Novo"/>
    <s v="Assinado"/>
    <d v="2026-05-08T00:00:00"/>
    <x v="3"/>
  </r>
  <r>
    <d v="2026-04-29T00:00:00"/>
    <d v="2026-05-02T00:00:00"/>
    <d v="2026-05-05T00:00:00"/>
    <s v="GASPAR JOSE DA SILVA"/>
    <x v="3"/>
    <s v="John"/>
    <s v="M"/>
    <n v="5516988747432"/>
    <s v="Novo"/>
    <s v="Assinado"/>
    <d v="2026-05-08T00:00:00"/>
    <x v="3"/>
  </r>
  <r>
    <d v="2026-04-29T00:00:00"/>
    <d v="2026-05-02T00:00:00"/>
    <d v="2026-05-05T00:00:00"/>
    <s v="PAULO PEREIRA"/>
    <x v="0"/>
    <s v="John"/>
    <s v="M"/>
    <n v="5511960913335"/>
    <s v="Renovação"/>
    <s v="Assinado(manual)"/>
    <d v="2026-05-08T00:00:00"/>
    <x v="3"/>
  </r>
  <r>
    <d v="2026-04-30T00:00:00"/>
    <d v="2026-05-03T00:00:00"/>
    <d v="2026-05-06T00:00:00"/>
    <s v="GENESIR FERRAZ DE MORAIS"/>
    <x v="4"/>
    <s v="Jacqueline"/>
    <s v="F"/>
    <n v="5511975734332"/>
    <s v="Novo"/>
    <s v="Erro"/>
    <d v="2026-05-09T00:00:00"/>
    <x v="3"/>
  </r>
  <r>
    <d v="2026-04-30T00:00:00"/>
    <d v="2026-05-03T00:00:00"/>
    <d v="2026-05-06T00:00:00"/>
    <s v="RAFAEL DIAS CORDEIRO SILVA DOS SANTOS"/>
    <x v="1"/>
    <s v="Leticia"/>
    <s v="F"/>
    <n v="5511976353505"/>
    <s v="Novo"/>
    <s v="Na planilha"/>
    <d v="2026-05-09T00:00:00"/>
    <x v="3"/>
  </r>
  <r>
    <d v="2026-04-30T00:00:00"/>
    <d v="2026-05-03T00:00:00"/>
    <d v="2026-05-06T00:00:00"/>
    <s v="RENATO ALVES VELOSO"/>
    <x v="0"/>
    <s v="John"/>
    <s v="M"/>
    <n v="5511977567741"/>
    <s v="Novo"/>
    <s v="Assinado"/>
    <d v="2026-05-09T00:00:00"/>
    <x v="3"/>
  </r>
  <r>
    <d v="2026-04-30T00:00:00"/>
    <d v="2026-05-03T00:00:00"/>
    <d v="2026-05-06T00:00:00"/>
    <s v="SILVIO JOSE PAULA DE OLIVEIRA"/>
    <x v="1"/>
    <s v="John"/>
    <s v="M"/>
    <n v="5511914871656"/>
    <s v="Novo"/>
    <s v="Na planilha"/>
    <d v="2026-05-09T00:00:00"/>
    <x v="3"/>
  </r>
  <r>
    <d v="2026-04-30T00:00:00"/>
    <d v="2026-05-03T00:00:00"/>
    <d v="2026-05-06T00:00:00"/>
    <s v="CAROLINE CICONELLI GIRO"/>
    <x v="0"/>
    <s v="John"/>
    <s v="M"/>
    <n v="5511963907890"/>
    <s v="Novo"/>
    <s v="Assinado"/>
    <d v="2026-05-09T00:00:00"/>
    <x v="3"/>
  </r>
  <r>
    <d v="2026-04-30T00:00:00"/>
    <d v="2026-05-03T00:00:00"/>
    <d v="2026-05-06T00:00:00"/>
    <s v="RENATO FERNANDO BARROS DOS SANTOS"/>
    <x v="0"/>
    <s v="John"/>
    <s v="M"/>
    <n v="551976551976"/>
    <s v="Renovação"/>
    <s v="Assinado"/>
    <d v="2026-05-09T00:00:00"/>
    <x v="3"/>
  </r>
  <r>
    <d v="2026-04-30T00:00:00"/>
    <d v="2026-05-03T00:00:00"/>
    <d v="2026-05-06T00:00:00"/>
    <s v="LUCAS SANTOS LEMOS"/>
    <x v="9"/>
    <s v="Jacqueline"/>
    <s v="F"/>
    <n v="5573991071934"/>
    <s v="Novo"/>
    <s v="Na planilha"/>
    <d v="2026-05-09T00:00:00"/>
    <x v="3"/>
  </r>
  <r>
    <d v="2026-04-30T00:00:00"/>
    <d v="2026-05-03T00:00:00"/>
    <d v="2026-05-06T00:00:00"/>
    <s v="GILVAN MANOEL DOS SANTOS"/>
    <x v="1"/>
    <s v="Jéssica"/>
    <s v="F"/>
    <n v="5511998731479"/>
    <s v="Novo"/>
    <s v="Assinado"/>
    <d v="2026-05-09T00:00:00"/>
    <x v="3"/>
  </r>
  <r>
    <d v="2026-04-30T00:00:00"/>
    <d v="2026-05-03T00:00:00"/>
    <d v="2026-05-06T00:00:00"/>
    <s v="DEMALCIR ALEXANDRE DA SILVA"/>
    <x v="3"/>
    <s v="John"/>
    <s v="M"/>
    <n v="5511914812462"/>
    <s v="Renovação"/>
    <s v="Na planilha"/>
    <d v="2026-05-09T00:00:00"/>
    <x v="3"/>
  </r>
  <r>
    <d v="2026-04-30T00:00:00"/>
    <d v="2026-05-03T00:00:00"/>
    <d v="2026-05-06T00:00:00"/>
    <s v="APARECIDA JOSE OLIBONI"/>
    <x v="3"/>
    <s v="John"/>
    <s v="M"/>
    <n v="5511976937466"/>
    <s v="Renovação"/>
    <s v="Na planilha"/>
    <d v="2026-05-09T00:00:00"/>
    <x v="3"/>
  </r>
  <r>
    <d v="2026-04-30T00:00:00"/>
    <d v="2026-05-03T00:00:00"/>
    <d v="2026-05-06T00:00:00"/>
    <s v="JOSE LIMA DA SILVA"/>
    <x v="2"/>
    <s v="John"/>
    <s v="M"/>
    <n v="5511948897829"/>
    <s v="Renovação"/>
    <s v="Assinado"/>
    <d v="2026-05-09T00:00:00"/>
    <x v="3"/>
  </r>
  <r>
    <d v="2026-04-30T00:00:00"/>
    <d v="2026-05-03T00:00:00"/>
    <d v="2026-05-06T00:00:00"/>
    <s v="REINALDO DE SOUSA"/>
    <x v="0"/>
    <s v="Leticia"/>
    <s v="F"/>
    <n v="5511967517887"/>
    <s v="Novo"/>
    <s v="Assinado"/>
    <d v="2026-05-09T00:00:00"/>
    <x v="3"/>
  </r>
  <r>
    <d v="2026-04-30T00:00:00"/>
    <d v="2026-05-03T00:00:00"/>
    <d v="2026-05-06T00:00:00"/>
    <s v="JURAILTON SOUZA SANTOS"/>
    <x v="2"/>
    <s v="Leticia"/>
    <s v="F"/>
    <n v="5511982144615"/>
    <s v="Novo"/>
    <s v="Assinado"/>
    <d v="2026-05-09T00:00:00"/>
    <x v="3"/>
  </r>
  <r>
    <d v="2026-04-30T00:00:00"/>
    <d v="2026-05-03T00:00:00"/>
    <d v="2026-05-06T00:00:00"/>
    <s v="ROMULO CESAR FERNANDES"/>
    <x v="3"/>
    <s v="John"/>
    <s v="M"/>
    <n v="5511992620363"/>
    <s v="Novo"/>
    <s v="Assinado"/>
    <d v="2026-05-09T00:00:00"/>
    <x v="3"/>
  </r>
  <r>
    <d v="2026-05-04T00:00:00"/>
    <d v="2026-05-07T00:00:00"/>
    <d v="2026-05-10T00:00:00"/>
    <s v="MARCIO ANTONIO LOURENCINI"/>
    <x v="3"/>
    <s v="Leticia"/>
    <s v="F"/>
    <n v="5516992614455"/>
    <s v="Novo"/>
    <s v="Erro"/>
    <d v="2026-05-13T00:00:00"/>
    <x v="4"/>
  </r>
  <r>
    <d v="2026-05-04T00:00:00"/>
    <d v="2026-05-07T00:00:00"/>
    <d v="2026-05-10T00:00:00"/>
    <s v="JOSE GERALDO BARBOSA DE JESUS"/>
    <x v="3"/>
    <s v="John"/>
    <s v="M"/>
    <n v="5561992437478"/>
    <s v="Novo"/>
    <s v="Na planilha"/>
    <d v="2026-05-13T00:00:00"/>
    <x v="4"/>
  </r>
  <r>
    <d v="2026-05-04T00:00:00"/>
    <d v="2026-05-07T00:00:00"/>
    <d v="2026-05-10T00:00:00"/>
    <s v="VANIA APARECIDA DA SILVA SANCHES"/>
    <x v="0"/>
    <s v="Jacqueline"/>
    <s v="F"/>
    <n v="5511947427134"/>
    <s v="Novo"/>
    <s v="Na planilha"/>
    <d v="2026-05-13T00:00:00"/>
    <x v="4"/>
  </r>
  <r>
    <d v="2026-05-04T00:00:00"/>
    <d v="2026-05-07T00:00:00"/>
    <d v="2026-05-10T00:00:00"/>
    <s v="DAVI PEREIRA GOMES"/>
    <x v="2"/>
    <s v="Leticia"/>
    <s v="F"/>
    <n v="5511988335727"/>
    <s v="Novo"/>
    <s v="Assinado"/>
    <d v="2026-05-13T00:00:00"/>
    <x v="4"/>
  </r>
  <r>
    <d v="2026-05-04T00:00:00"/>
    <d v="2026-05-07T00:00:00"/>
    <d v="2026-05-10T00:00:00"/>
    <s v="MARILENE LIMA PASSARINHO"/>
    <x v="2"/>
    <s v="John"/>
    <s v="M"/>
    <n v="5511995282049"/>
    <s v="Novo"/>
    <s v="Na planilha"/>
    <d v="2026-05-13T00:00:00"/>
    <x v="4"/>
  </r>
  <r>
    <d v="2026-05-04T00:00:00"/>
    <d v="2026-05-07T00:00:00"/>
    <d v="2026-05-10T00:00:00"/>
    <s v="JOSE RICARDO DA SILVA"/>
    <x v="2"/>
    <s v="Leticia"/>
    <s v="F"/>
    <n v="5511980670652"/>
    <s v="Renovação"/>
    <s v="Assinado"/>
    <d v="2026-05-13T00:00:00"/>
    <x v="4"/>
  </r>
  <r>
    <d v="2026-05-05T00:00:00"/>
    <d v="2026-05-08T00:00:00"/>
    <d v="2026-05-11T00:00:00"/>
    <s v="ANA ROSA BERNARDINO PEIGO"/>
    <x v="0"/>
    <s v="Isabella"/>
    <s v="F"/>
    <n v="5511993084663"/>
    <s v="Novo"/>
    <s v="Na planilha"/>
    <d v="2026-05-14T00:00:00"/>
    <x v="4"/>
  </r>
  <r>
    <d v="2026-05-05T00:00:00"/>
    <d v="2026-05-08T00:00:00"/>
    <d v="2026-05-11T00:00:00"/>
    <s v="FLAVIO ALVES DAS CHAGAS"/>
    <x v="0"/>
    <s v="Jacqueline"/>
    <s v="F"/>
    <n v="5544999649677"/>
    <s v="Novo"/>
    <s v="Cancelado"/>
    <d v="2026-05-14T00:00:00"/>
    <x v="4"/>
  </r>
  <r>
    <d v="2026-05-05T00:00:00"/>
    <d v="2026-05-08T00:00:00"/>
    <d v="2026-05-11T00:00:00"/>
    <s v="DIOGO BRUNO OLIVEIRA SILVA"/>
    <x v="2"/>
    <s v="Leticia"/>
    <s v="F"/>
    <n v="551954480246"/>
    <s v="Novo"/>
    <s v="Assinado"/>
    <d v="2026-05-14T00:00:00"/>
    <x v="4"/>
  </r>
  <r>
    <d v="2026-05-05T00:00:00"/>
    <d v="2026-05-08T00:00:00"/>
    <d v="2026-05-11T00:00:00"/>
    <s v="BRUNNO YUJI ARANAGA"/>
    <x v="0"/>
    <s v="Leticia"/>
    <s v="F"/>
    <n v="5511978383346"/>
    <s v="Novo"/>
    <s v="Assinado"/>
    <d v="2026-05-14T00:00:00"/>
    <x v="4"/>
  </r>
  <r>
    <d v="2026-05-05T00:00:00"/>
    <d v="2026-05-08T00:00:00"/>
    <d v="2026-05-11T00:00:00"/>
    <s v="DAIANA ARAUJO DE MACEDO"/>
    <x v="2"/>
    <s v="Leticia"/>
    <s v="F"/>
    <n v="5511981686644"/>
    <s v="Novo"/>
    <s v="Assinado"/>
    <d v="2026-05-14T00:00:00"/>
    <x v="4"/>
  </r>
  <r>
    <d v="2026-05-05T00:00:00"/>
    <d v="2026-05-08T00:00:00"/>
    <d v="2026-05-11T00:00:00"/>
    <s v="FERNANDA APARECIDA COSTA"/>
    <x v="0"/>
    <s v="Enzo"/>
    <s v="M"/>
    <n v="5511987770227"/>
    <s v="Novo"/>
    <s v="Assinado"/>
    <d v="2026-05-14T00:00:00"/>
    <x v="4"/>
  </r>
  <r>
    <d v="2026-05-05T00:00:00"/>
    <d v="2026-05-08T00:00:00"/>
    <d v="2026-05-11T00:00:00"/>
    <s v="SANDRA APARECIDA LEME"/>
    <x v="2"/>
    <s v="Enzo"/>
    <s v="M"/>
    <n v="5511972455149"/>
    <s v="Novo"/>
    <s v="Assinado"/>
    <d v="2026-05-14T00:00:00"/>
    <x v="4"/>
  </r>
  <r>
    <d v="2026-05-05T00:00:00"/>
    <d v="2026-05-08T00:00:00"/>
    <d v="2026-05-11T00:00:00"/>
    <s v="GIOVANNA FERNANDES VIEIRA"/>
    <x v="4"/>
    <s v="John"/>
    <s v="M"/>
    <n v="5511977500294"/>
    <s v="Novo"/>
    <s v="Assinado"/>
    <d v="2026-05-14T00:00:00"/>
    <x v="4"/>
  </r>
  <r>
    <d v="2026-05-05T00:00:00"/>
    <d v="2026-05-08T00:00:00"/>
    <d v="2026-05-11T00:00:00"/>
    <s v="ALBERTO DE ALMEIDA"/>
    <x v="0"/>
    <s v="John"/>
    <s v="M"/>
    <n v="5511971236183"/>
    <s v="Novo"/>
    <s v="Assinado"/>
    <d v="2026-05-14T00:00:00"/>
    <x v="4"/>
  </r>
  <r>
    <d v="2026-05-06T00:00:00"/>
    <d v="2026-05-09T00:00:00"/>
    <d v="2026-05-12T00:00:00"/>
    <s v="MARANICE APARECIDA DE GODOI DA SILVA"/>
    <x v="0"/>
    <s v="Isabella"/>
    <s v="F"/>
    <n v="5511973213263"/>
    <s v="Novo"/>
    <s v="Na planilha"/>
    <d v="2026-05-15T00:00:00"/>
    <x v="4"/>
  </r>
  <r>
    <d v="2026-05-06T00:00:00"/>
    <d v="2026-05-09T00:00:00"/>
    <d v="2026-05-12T00:00:00"/>
    <s v="DANIEL DOS SANTOS ANTUNES"/>
    <x v="2"/>
    <s v="Jéssica"/>
    <s v="F"/>
    <n v="5512996466195"/>
    <s v="Novo"/>
    <s v="Assinado"/>
    <d v="2026-05-15T00:00:00"/>
    <x v="4"/>
  </r>
  <r>
    <d v="2026-05-06T00:00:00"/>
    <d v="2026-05-09T00:00:00"/>
    <d v="2026-05-12T00:00:00"/>
    <s v="FABIO REBOUCAS SENNA"/>
    <x v="0"/>
    <s v="John"/>
    <s v="M"/>
    <n v="5513981371975"/>
    <s v="Novo"/>
    <s v="Assinado"/>
    <d v="2026-05-15T00:00:00"/>
    <x v="4"/>
  </r>
  <r>
    <d v="2026-05-06T00:00:00"/>
    <d v="2026-05-09T00:00:00"/>
    <d v="2026-05-12T00:00:00"/>
    <s v="GIVANILDO NASCIMENTO DA SILVA"/>
    <x v="1"/>
    <s v="John"/>
    <s v="M"/>
    <n v="5511953447108"/>
    <s v="Novo"/>
    <s v="Assinado"/>
    <d v="2026-05-15T00:00:00"/>
    <x v="4"/>
  </r>
  <r>
    <d v="2026-05-06T00:00:00"/>
    <d v="2026-05-09T00:00:00"/>
    <d v="2026-05-12T00:00:00"/>
    <s v="JOSE CARLOS NOGUEIRA"/>
    <x v="11"/>
    <s v="Leticia"/>
    <s v="F"/>
    <n v="5511983757324"/>
    <s v="Novo"/>
    <s v="Assinado"/>
    <d v="2026-05-15T00:00:00"/>
    <x v="4"/>
  </r>
  <r>
    <d v="2026-05-06T00:00:00"/>
    <d v="2026-05-09T00:00:00"/>
    <d v="2026-05-12T00:00:00"/>
    <s v="SUELI APARECIDA MARCON FERREIRA"/>
    <x v="0"/>
    <s v="Leticia"/>
    <s v="F"/>
    <n v="5511933767433"/>
    <s v="Novo"/>
    <s v="Assinado"/>
    <d v="2026-05-15T00:00:00"/>
    <x v="4"/>
  </r>
  <r>
    <d v="2026-05-06T00:00:00"/>
    <d v="2026-05-09T00:00:00"/>
    <d v="2026-05-12T00:00:00"/>
    <s v="SERGIO YOSCHIHARO NAGASSE"/>
    <x v="3"/>
    <s v="Leticia"/>
    <s v="F"/>
    <n v="5519988389350"/>
    <s v="Renovação"/>
    <s v="Assinado"/>
    <d v="2026-05-15T00:00:00"/>
    <x v="4"/>
  </r>
  <r>
    <d v="2026-05-06T00:00:00"/>
    <d v="2026-05-09T00:00:00"/>
    <d v="2026-05-12T00:00:00"/>
    <s v="JONATAS ROBERTO ARRESUELO MUNHOZ"/>
    <x v="1"/>
    <s v="Enzo"/>
    <s v="M"/>
    <n v="5511975325690"/>
    <s v="Novo"/>
    <s v="Na planilha"/>
    <d v="2026-05-15T00:00:00"/>
    <x v="4"/>
  </r>
  <r>
    <d v="2026-05-06T00:00:00"/>
    <d v="2026-05-09T00:00:00"/>
    <d v="2026-05-12T00:00:00"/>
    <s v="ISABELLA VICENTE MOURA "/>
    <x v="2"/>
    <s v="Enzo"/>
    <s v="M"/>
    <n v="5511987174110"/>
    <s v="Novo"/>
    <s v="Assinado"/>
    <d v="2026-05-15T00:00:00"/>
    <x v="4"/>
  </r>
  <r>
    <d v="2026-05-06T00:00:00"/>
    <d v="2026-05-09T00:00:00"/>
    <d v="2026-05-12T00:00:00"/>
    <s v="JUREMA MARTINS COELHO DE LIMA"/>
    <x v="0"/>
    <s v="Jacqueline"/>
    <s v="F"/>
    <n v="5511950193170"/>
    <s v="Novo"/>
    <s v="Assinado"/>
    <d v="2026-05-15T00:00:00"/>
    <x v="4"/>
  </r>
  <r>
    <d v="2026-05-06T00:00:00"/>
    <d v="2026-05-09T00:00:00"/>
    <d v="2026-05-12T00:00:00"/>
    <s v="CLEIGEAN FRANCA DE MENEZES"/>
    <x v="2"/>
    <s v="John"/>
    <s v="M"/>
    <n v="5511947727467"/>
    <s v="Renovação"/>
    <s v="Assinado"/>
    <d v="2026-05-15T00:00:00"/>
    <x v="4"/>
  </r>
  <r>
    <d v="2026-05-06T00:00:00"/>
    <d v="2026-05-09T00:00:00"/>
    <d v="2026-05-12T00:00:00"/>
    <s v="DENISE APARECIDA DE ANDRADE"/>
    <x v="3"/>
    <s v="John"/>
    <s v="M"/>
    <n v="5511991764374"/>
    <s v="Renovação"/>
    <s v="Na planilha"/>
    <d v="2026-05-15T00:00:00"/>
    <x v="4"/>
  </r>
  <r>
    <d v="2026-05-06T00:00:00"/>
    <d v="2026-05-09T00:00:00"/>
    <d v="2026-05-12T00:00:00"/>
    <s v="URANIA SILVA COELHO"/>
    <x v="4"/>
    <s v="Myrelle"/>
    <s v="F"/>
    <n v="5561998076287"/>
    <s v="Novo"/>
    <s v="Assinado"/>
    <d v="2026-05-15T00:00:00"/>
    <x v="4"/>
  </r>
  <r>
    <d v="2026-05-06T00:00:00"/>
    <d v="2026-05-09T00:00:00"/>
    <d v="2026-05-12T00:00:00"/>
    <s v="ADEVALDO TUPINAMBA DE SOUZA"/>
    <x v="3"/>
    <s v="Leticia"/>
    <s v="F"/>
    <n v="5511987211022"/>
    <s v="Novo"/>
    <s v="Na planilha"/>
    <d v="2026-05-15T00:00:00"/>
    <x v="4"/>
  </r>
  <r>
    <d v="2026-05-06T00:00:00"/>
    <d v="2026-05-09T00:00:00"/>
    <d v="2026-05-12T00:00:00"/>
    <s v="WAGNER DA SILVA DE OLIVEIRA"/>
    <x v="1"/>
    <s v="Leticia"/>
    <s v="F"/>
    <n v="5511940361540"/>
    <s v="Renovação"/>
    <s v="Assinado"/>
    <d v="2026-05-15T00:00:00"/>
    <x v="4"/>
  </r>
  <r>
    <d v="2026-05-07T00:00:00"/>
    <d v="2026-05-10T00:00:00"/>
    <d v="2026-05-13T00:00:00"/>
    <s v="EDSON DIAS DE SIQUEIRA"/>
    <x v="0"/>
    <s v="John"/>
    <s v="M"/>
    <n v="5511949164146"/>
    <s v="Novo"/>
    <s v="Assinado"/>
    <d v="2026-05-16T00:00:00"/>
    <x v="4"/>
  </r>
  <r>
    <d v="2026-05-07T00:00:00"/>
    <d v="2026-05-10T00:00:00"/>
    <d v="2026-05-13T00:00:00"/>
    <s v="DIEGO GAMA DE SOUZA"/>
    <x v="1"/>
    <s v="Jacqueline"/>
    <s v="F"/>
    <n v="5511930959217"/>
    <s v="Novo"/>
    <s v="Assinado"/>
    <d v="2026-05-16T00:00:00"/>
    <x v="4"/>
  </r>
  <r>
    <d v="2026-05-07T00:00:00"/>
    <d v="2026-05-10T00:00:00"/>
    <d v="2026-05-13T00:00:00"/>
    <s v="MARIA JOSE CARVALHO DE MATOS"/>
    <x v="2"/>
    <s v="Jéssica"/>
    <s v="F"/>
    <n v="5511949194477"/>
    <s v="Novo"/>
    <s v="Na planilha"/>
    <d v="2026-05-16T00:00:00"/>
    <x v="4"/>
  </r>
  <r>
    <d v="2026-05-07T00:00:00"/>
    <d v="2026-05-10T00:00:00"/>
    <d v="2026-05-13T00:00:00"/>
    <s v="DJANAINA KOZIKOSKI FAILLA"/>
    <x v="1"/>
    <s v="Jéssica"/>
    <s v="F"/>
    <n v="5511998235377"/>
    <s v="Novo"/>
    <s v="Assinado"/>
    <d v="2026-05-16T00:00:00"/>
    <x v="4"/>
  </r>
  <r>
    <d v="2026-05-07T00:00:00"/>
    <d v="2026-05-10T00:00:00"/>
    <d v="2026-05-13T00:00:00"/>
    <s v="JOSE SILVANO DOS SANTOS"/>
    <x v="3"/>
    <s v="John"/>
    <s v="M"/>
    <n v="5511943032358"/>
    <s v="Renovação"/>
    <s v="Assinado"/>
    <d v="2026-05-16T00:00:00"/>
    <x v="4"/>
  </r>
  <r>
    <d v="2026-05-07T00:00:00"/>
    <d v="2026-05-10T00:00:00"/>
    <d v="2026-05-13T00:00:00"/>
    <s v="LEONARDO FELIPE DE MELO BASILIO"/>
    <x v="9"/>
    <s v="Leticia"/>
    <s v="F"/>
    <n v="5517992638606"/>
    <s v="Novo"/>
    <s v="Assinado(manual)"/>
    <d v="2026-05-16T00:00:00"/>
    <x v="4"/>
  </r>
  <r>
    <d v="2026-05-07T00:00:00"/>
    <d v="2026-05-10T00:00:00"/>
    <d v="2026-05-13T00:00:00"/>
    <s v="EDIVALDO DE SOUZA"/>
    <x v="1"/>
    <s v="Isabella"/>
    <s v="F"/>
    <n v="5516988474001"/>
    <s v="Novo"/>
    <s v="Na planilha"/>
    <d v="2026-05-16T00:00:00"/>
    <x v="4"/>
  </r>
  <r>
    <d v="2026-05-07T00:00:00"/>
    <d v="2026-05-10T00:00:00"/>
    <d v="2026-05-13T00:00:00"/>
    <s v="FERNANDO HENRIQUE TREVISAN"/>
    <x v="0"/>
    <s v="Isabella"/>
    <s v="F"/>
    <n v="5519981781815"/>
    <s v="Novo"/>
    <s v="Assinado"/>
    <d v="2026-05-16T00:00:00"/>
    <x v="4"/>
  </r>
  <r>
    <d v="2026-05-07T00:00:00"/>
    <d v="2026-05-10T00:00:00"/>
    <d v="2026-05-13T00:00:00"/>
    <s v="GIVANILDO BATISTA DOS SANTOS"/>
    <x v="1"/>
    <s v="Isabella"/>
    <s v="F"/>
    <n v="5511986420776"/>
    <s v="Novo"/>
    <s v="Assinado"/>
    <d v="2026-05-16T00:00:00"/>
    <x v="4"/>
  </r>
  <r>
    <d v="2026-05-07T00:00:00"/>
    <d v="2026-05-10T00:00:00"/>
    <d v="2026-05-13T00:00:00"/>
    <s v="CICERO RICARDO DOMINGOS DA SILVA"/>
    <x v="0"/>
    <s v="Jacqueline"/>
    <s v="F"/>
    <n v="5515988152546"/>
    <s v="Novo"/>
    <s v="Na planilha"/>
    <d v="2026-05-16T00:00:00"/>
    <x v="4"/>
  </r>
  <r>
    <d v="2026-05-07T00:00:00"/>
    <d v="2026-05-10T00:00:00"/>
    <d v="2026-05-13T00:00:00"/>
    <s v="LUDMILA MOTA VIEIRA DAMASCENO"/>
    <x v="1"/>
    <s v="Jacqueline"/>
    <s v="F"/>
    <n v="5531992497663"/>
    <s v="Novo"/>
    <s v="Assinado"/>
    <d v="2026-05-16T00:00:00"/>
    <x v="4"/>
  </r>
  <r>
    <d v="2026-05-07T00:00:00"/>
    <d v="2026-05-10T00:00:00"/>
    <d v="2026-05-13T00:00:00"/>
    <s v="JURAILTON SOUZA SANTOS"/>
    <x v="2"/>
    <s v="Leticia"/>
    <s v="F"/>
    <n v="5511982144615"/>
    <s v="Novo"/>
    <s v="Assinado"/>
    <d v="2026-05-16T00:00:00"/>
    <x v="4"/>
  </r>
  <r>
    <d v="2026-05-07T00:00:00"/>
    <d v="2026-05-10T00:00:00"/>
    <d v="2026-05-13T00:00:00"/>
    <s v="MARIA APARECIDA DA SILVA SOUZA"/>
    <x v="3"/>
    <s v="Leticia"/>
    <s v="F"/>
    <n v="5581984214061"/>
    <s v="Renovação"/>
    <s v="Assinado"/>
    <d v="2026-05-16T00:00:00"/>
    <x v="4"/>
  </r>
  <r>
    <d v="2026-05-07T00:00:00"/>
    <d v="2026-05-10T00:00:00"/>
    <d v="2026-05-13T00:00:00"/>
    <s v="ROUBERTH BARBOSA DA SILVA"/>
    <x v="0"/>
    <s v="Jacqueline"/>
    <s v="F"/>
    <n v="5511965139319"/>
    <s v="Novo"/>
    <s v="Assinado"/>
    <d v="2026-05-16T00:00:00"/>
    <x v="4"/>
  </r>
  <r>
    <d v="2026-05-08T00:00:00"/>
    <d v="2026-05-11T00:00:00"/>
    <d v="2026-05-14T00:00:00"/>
    <s v="DULCE ELENE APARECIDA DIAS"/>
    <x v="0"/>
    <s v="Jacqueline"/>
    <s v="F"/>
    <n v="5511946635281"/>
    <s v="Novo"/>
    <s v="Assinado"/>
    <d v="2026-05-17T00:00:00"/>
    <x v="4"/>
  </r>
  <r>
    <d v="2026-05-08T00:00:00"/>
    <d v="2026-05-11T00:00:00"/>
    <d v="2026-05-14T00:00:00"/>
    <s v="JOSE LAERCIO DA SILVA"/>
    <x v="0"/>
    <s v="Jacqueline"/>
    <s v="F"/>
    <n v="5511988931271"/>
    <s v="Novo"/>
    <s v="Assinado"/>
    <d v="2026-05-17T00:00:00"/>
    <x v="4"/>
  </r>
  <r>
    <d v="2026-05-08T00:00:00"/>
    <d v="2026-05-11T00:00:00"/>
    <d v="2026-05-14T00:00:00"/>
    <s v="EDVANILSON MARTINS DOS ANJOS"/>
    <x v="0"/>
    <s v="Jacqueline"/>
    <s v="F"/>
    <n v="5511999044143"/>
    <s v="Novo"/>
    <s v="Na planilha"/>
    <d v="2026-05-17T00:00:00"/>
    <x v="4"/>
  </r>
  <r>
    <d v="2026-05-08T00:00:00"/>
    <d v="2026-05-11T00:00:00"/>
    <d v="2026-05-14T00:00:00"/>
    <s v="WALDEMAR VIDORETTO"/>
    <x v="0"/>
    <s v="Jéssica"/>
    <s v="F"/>
    <n v="5514991763934"/>
    <s v="Novo"/>
    <s v="Na planilha"/>
    <d v="2026-05-17T00:00:00"/>
    <x v="4"/>
  </r>
  <r>
    <d v="2026-05-08T00:00:00"/>
    <d v="2026-05-11T00:00:00"/>
    <d v="2026-05-14T00:00:00"/>
    <s v="GERALDO MAGELA ANDRADE REGO"/>
    <x v="3"/>
    <s v="Leticia"/>
    <s v="F"/>
    <n v="5511913254674"/>
    <s v="Novo"/>
    <s v="Assinado(manual)"/>
    <d v="2026-05-17T00:00:00"/>
    <x v="4"/>
  </r>
  <r>
    <d v="2026-05-08T00:00:00"/>
    <d v="2026-05-11T00:00:00"/>
    <d v="2026-05-14T00:00:00"/>
    <s v="RAFAELA TERUEL SANCHEZ"/>
    <x v="0"/>
    <s v="Jacqueline"/>
    <s v="F"/>
    <n v="5511971909913"/>
    <s v="Novo"/>
    <s v="Assinado"/>
    <d v="2026-05-17T00:00:00"/>
    <x v="4"/>
  </r>
  <r>
    <d v="2026-05-08T00:00:00"/>
    <d v="2026-05-11T00:00:00"/>
    <d v="2026-05-14T00:00:00"/>
    <s v="EZEQUIEL COSTA"/>
    <x v="0"/>
    <s v="Myrelle"/>
    <s v="F"/>
    <n v="5513996289821"/>
    <s v="Novo"/>
    <s v="Assinado(manual)"/>
    <d v="2026-05-17T00:00:00"/>
    <x v="4"/>
  </r>
  <r>
    <d v="2026-05-08T00:00:00"/>
    <d v="2026-05-11T00:00:00"/>
    <d v="2026-05-14T00:00:00"/>
    <s v="MATEUS SOUZA OLIVEIRA"/>
    <x v="0"/>
    <s v="Jacqueline"/>
    <s v="F"/>
    <n v="5521978767882"/>
    <s v="Novo"/>
    <s v="Na planilha"/>
    <d v="2026-05-17T00:00:00"/>
    <x v="4"/>
  </r>
  <r>
    <d v="2026-05-11T00:00:00"/>
    <d v="2026-05-14T00:00:00"/>
    <d v="2026-05-17T00:00:00"/>
    <s v="GABRIELA BAPTISTA SIMOES"/>
    <x v="1"/>
    <s v="Leticia"/>
    <s v="F"/>
    <n v="5511963199278"/>
    <s v="Renovação"/>
    <s v="Na planilha"/>
    <d v="2026-05-20T00:00:00"/>
    <x v="4"/>
  </r>
  <r>
    <d v="2026-05-11T00:00:00"/>
    <d v="2026-05-14T00:00:00"/>
    <d v="2026-05-17T00:00:00"/>
    <s v="MARCIO ALEXANDRE DE SOUZA INFRAN"/>
    <x v="0"/>
    <s v="Jacqueline"/>
    <s v="F"/>
    <n v="5547999959443"/>
    <s v="Novo"/>
    <s v="Assinado"/>
    <d v="2026-05-20T00:00:00"/>
    <x v="4"/>
  </r>
  <r>
    <d v="2026-05-11T00:00:00"/>
    <d v="2026-05-14T00:00:00"/>
    <d v="2026-05-17T00:00:00"/>
    <s v="LUCIANA MARA GONCALVES DO NASCIMENTO"/>
    <x v="3"/>
    <s v="John"/>
    <s v="M"/>
    <n v="5514981565440"/>
    <s v="Renovação"/>
    <s v="Assinado"/>
    <d v="2026-05-20T00:00:00"/>
    <x v="4"/>
  </r>
  <r>
    <d v="2026-05-11T00:00:00"/>
    <d v="2026-05-14T00:00:00"/>
    <d v="2026-05-17T00:00:00"/>
    <s v="NELSON TOSHIAKI MIYASATO"/>
    <x v="0"/>
    <s v="John"/>
    <s v="M"/>
    <n v="5511985329221"/>
    <s v="Renovação"/>
    <s v="Assinado"/>
    <d v="2026-05-20T00:00:00"/>
    <x v="4"/>
  </r>
  <r>
    <d v="2026-05-11T00:00:00"/>
    <d v="2026-05-14T00:00:00"/>
    <d v="2026-05-17T00:00:00"/>
    <s v="DINGLER QUELHAS PAOLI"/>
    <x v="0"/>
    <s v="John"/>
    <s v="M"/>
    <n v="5511983100238"/>
    <s v="Renovação"/>
    <s v="Assinado"/>
    <d v="2026-05-20T00:00:00"/>
    <x v="4"/>
  </r>
  <r>
    <d v="2026-05-11T00:00:00"/>
    <d v="2026-05-14T00:00:00"/>
    <d v="2026-05-17T00:00:00"/>
    <s v="GISELE DA CRUZ LOPES"/>
    <x v="0"/>
    <s v="John"/>
    <s v="M"/>
    <n v="5511954781161"/>
    <s v="Renovação"/>
    <s v="Assinado"/>
    <d v="2026-05-20T00:00:00"/>
    <x v="4"/>
  </r>
  <r>
    <d v="2026-05-11T00:00:00"/>
    <d v="2026-05-14T00:00:00"/>
    <d v="2026-05-17T00:00:00"/>
    <s v="ANTONIO MARCOS OLIVEIRA"/>
    <x v="3"/>
    <s v="John"/>
    <s v="M"/>
    <n v="5511961676300"/>
    <s v="Renovação"/>
    <s v="Assinado"/>
    <d v="2026-05-20T00:00:00"/>
    <x v="4"/>
  </r>
  <r>
    <d v="2026-05-11T00:00:00"/>
    <d v="2026-05-14T00:00:00"/>
    <d v="2026-05-17T00:00:00"/>
    <s v="SERGIO RICARDO CAMILLO"/>
    <x v="0"/>
    <s v="Myrelle"/>
    <s v="F"/>
    <n v="5513988408324"/>
    <s v="Novo"/>
    <s v="Assinado"/>
    <d v="2026-05-20T00:00:00"/>
    <x v="4"/>
  </r>
  <r>
    <d v="2026-05-11T00:00:00"/>
    <d v="2026-05-14T00:00:00"/>
    <d v="2026-05-17T00:00:00"/>
    <s v="RICARDO MAROTTI"/>
    <x v="1"/>
    <s v="Jacqueline"/>
    <s v="F"/>
    <n v="5513982259699"/>
    <s v="Novo"/>
    <s v="Assinado"/>
    <d v="2026-05-20T00:00:00"/>
    <x v="4"/>
  </r>
  <r>
    <d v="2026-05-12T00:00:00"/>
    <d v="2026-05-15T00:00:00"/>
    <d v="2026-05-18T00:00:00"/>
    <s v="KLEBER TADEU DOS SANTOS"/>
    <x v="1"/>
    <s v="Myrelle"/>
    <s v="F"/>
    <n v="5514991434964"/>
    <s v="Novo"/>
    <s v="Assinado"/>
    <d v="2026-05-21T00:00:00"/>
    <x v="4"/>
  </r>
  <r>
    <d v="2026-05-12T00:00:00"/>
    <d v="2026-05-15T00:00:00"/>
    <d v="2026-05-18T00:00:00"/>
    <s v="ANA CRISTINA GONCALVES DE ASSIS"/>
    <x v="0"/>
    <s v="Isabella"/>
    <s v="F"/>
    <n v="5511987447103"/>
    <s v="Novo"/>
    <s v="Assinado"/>
    <d v="2026-05-21T00:00:00"/>
    <x v="4"/>
  </r>
  <r>
    <d v="2026-05-12T00:00:00"/>
    <d v="2026-05-15T00:00:00"/>
    <d v="2026-05-18T00:00:00"/>
    <s v="MARIA APARECIDA ROZENO DA SILVA"/>
    <x v="2"/>
    <s v="Isabella"/>
    <s v="F"/>
    <n v="5513981501633"/>
    <s v="Renovação"/>
    <s v="Assinado"/>
    <d v="2026-05-21T00:00:00"/>
    <x v="4"/>
  </r>
  <r>
    <d v="2026-05-12T00:00:00"/>
    <d v="2026-05-15T00:00:00"/>
    <d v="2026-05-18T00:00:00"/>
    <s v="EDIVALDO RODRIGUES DO NASCIMENTO"/>
    <x v="2"/>
    <s v="Isabella"/>
    <s v="F"/>
    <n v="5511966134693"/>
    <s v="Renovação"/>
    <s v="Na planilha"/>
    <d v="2026-05-21T00:00:00"/>
    <x v="4"/>
  </r>
  <r>
    <d v="2026-05-12T00:00:00"/>
    <d v="2026-05-15T00:00:00"/>
    <d v="2026-05-18T00:00:00"/>
    <s v="CLAYTON BATISTA DOS SANTOS"/>
    <x v="1"/>
    <s v="John"/>
    <s v="M"/>
    <n v="5511987865877"/>
    <s v="Novo"/>
    <s v="Assinado"/>
    <d v="2026-05-21T00:00:00"/>
    <x v="4"/>
  </r>
  <r>
    <d v="2026-05-12T00:00:00"/>
    <d v="2026-05-15T00:00:00"/>
    <d v="2026-05-18T00:00:00"/>
    <s v="CLAYTON BATISTA DOS SANTOS"/>
    <x v="1"/>
    <s v="John"/>
    <s v="M"/>
    <n v="5511987865877"/>
    <s v="Renovação"/>
    <s v="Assinado"/>
    <d v="2026-05-21T00:00:00"/>
    <x v="4"/>
  </r>
  <r>
    <d v="2026-05-12T00:00:00"/>
    <d v="2026-05-15T00:00:00"/>
    <d v="2026-05-18T00:00:00"/>
    <s v="MS SUPRIMENTOS LTDA"/>
    <x v="1"/>
    <s v="John"/>
    <s v="M"/>
    <n v="5511973041936"/>
    <s v="Novo"/>
    <s v="Assinado"/>
    <d v="2026-05-21T00:00:00"/>
    <x v="4"/>
  </r>
  <r>
    <d v="2026-05-13T00:00:00"/>
    <d v="2026-05-16T00:00:00"/>
    <d v="2026-05-19T00:00:00"/>
    <s v="RONNI DOS SANTOS PORCELANI"/>
    <x v="5"/>
    <s v="Leticia"/>
    <s v="F"/>
    <n v="5511957853006"/>
    <s v="Novo"/>
    <s v="Assinado"/>
    <d v="2026-05-22T00:00:00"/>
    <x v="4"/>
  </r>
  <r>
    <d v="2026-05-12T00:00:00"/>
    <d v="2026-05-15T00:00:00"/>
    <d v="2026-05-18T00:00:00"/>
    <s v="RAFAEL LOCATI TEIXEIRA"/>
    <x v="5"/>
    <s v="Leticia"/>
    <s v="F"/>
    <n v="5511957853006"/>
    <s v="Novo"/>
    <s v="Na planilha"/>
    <d v="2026-05-21T00:00:00"/>
    <x v="4"/>
  </r>
  <r>
    <d v="2026-05-12T00:00:00"/>
    <d v="2026-05-15T00:00:00"/>
    <d v="2026-05-18T00:00:00"/>
    <s v="JOSE GILVAN DE CARVALHO DINIZ"/>
    <x v="0"/>
    <s v="John"/>
    <s v="M"/>
    <n v="5511985075420"/>
    <s v="Novo"/>
    <s v="Cancelado"/>
    <d v="2026-05-21T00:00:00"/>
    <x v="4"/>
  </r>
  <r>
    <d v="2026-05-12T00:00:00"/>
    <d v="2026-05-15T00:00:00"/>
    <d v="2026-05-18T00:00:00"/>
    <s v="VICTOR HUGO MEDEIROS CAVALCANTE"/>
    <x v="0"/>
    <s v="John"/>
    <s v="M"/>
    <n v="5511945162431"/>
    <s v="Novo"/>
    <s v="Assinado"/>
    <d v="2026-05-21T00:00:00"/>
    <x v="4"/>
  </r>
  <r>
    <d v="2026-05-12T00:00:00"/>
    <d v="2026-05-15T00:00:00"/>
    <d v="2026-05-18T00:00:00"/>
    <s v="ADAILTON CARDOSO DA SILVA"/>
    <x v="2"/>
    <s v="Myrelle"/>
    <s v="F"/>
    <n v="5512997587792"/>
    <s v="Novo"/>
    <s v="Assinado"/>
    <d v="2026-05-21T00:00:00"/>
    <x v="4"/>
  </r>
  <r>
    <d v="2026-05-12T00:00:00"/>
    <d v="2026-05-15T00:00:00"/>
    <d v="2026-05-18T00:00:00"/>
    <s v="CARLOS ANDRE XAVIER DA CRUZ"/>
    <x v="11"/>
    <s v="John"/>
    <s v="M"/>
    <n v="5511940069539"/>
    <s v="Renovação"/>
    <s v="Assinado"/>
    <d v="2026-05-21T00:00:00"/>
    <x v="4"/>
  </r>
  <r>
    <d v="2026-05-12T00:00:00"/>
    <d v="2026-05-15T00:00:00"/>
    <d v="2026-05-18T00:00:00"/>
    <s v="CICERO PEREIRA DOS SANTOS"/>
    <x v="7"/>
    <s v="Leticia"/>
    <s v="F"/>
    <n v="5511946225118"/>
    <s v="Renovação"/>
    <s v="Assinado"/>
    <d v="2026-05-21T00:00:00"/>
    <x v="4"/>
  </r>
  <r>
    <d v="2026-05-13T00:00:00"/>
    <d v="2026-05-16T00:00:00"/>
    <d v="2026-05-19T00:00:00"/>
    <s v="CLAUDEMIR DA SILVA BATISTA"/>
    <x v="2"/>
    <s v="Leticia"/>
    <s v="F"/>
    <n v="5511976171649"/>
    <s v="Novo"/>
    <s v="Na planilha"/>
    <d v="2026-05-22T00:00:00"/>
    <x v="4"/>
  </r>
  <r>
    <d v="2026-05-13T00:00:00"/>
    <d v="2026-05-16T00:00:00"/>
    <d v="2026-05-19T00:00:00"/>
    <s v="JORGE LUIS CONCEICAO"/>
    <x v="2"/>
    <s v="Jacqueline"/>
    <s v="F"/>
    <n v="5513997496744"/>
    <s v="Novo"/>
    <s v="Assinado"/>
    <d v="2026-05-22T00:00:00"/>
    <x v="4"/>
  </r>
  <r>
    <d v="2026-05-13T00:00:00"/>
    <d v="2026-05-16T00:00:00"/>
    <d v="2026-05-19T00:00:00"/>
    <s v="TALITA CRISTINA DA SILVA"/>
    <x v="3"/>
    <s v="Jacqueline"/>
    <s v="F"/>
    <n v="5534996734335"/>
    <s v="Novo"/>
    <s v="Assinado"/>
    <d v="2026-05-22T00:00:00"/>
    <x v="4"/>
  </r>
  <r>
    <d v="2026-05-13T00:00:00"/>
    <d v="2026-05-16T00:00:00"/>
    <d v="2026-05-19T00:00:00"/>
    <s v="MARIA DAS GRACAS BRITO DE LIMA"/>
    <x v="5"/>
    <s v="John"/>
    <s v="M"/>
    <n v="5511993853813"/>
    <s v="Novo"/>
    <s v="Assinado"/>
    <d v="2026-05-22T00:00:00"/>
    <x v="4"/>
  </r>
  <r>
    <d v="2026-05-13T00:00:00"/>
    <d v="2026-05-16T00:00:00"/>
    <d v="2026-05-19T00:00:00"/>
    <s v="ANTONIO VAZ DA SILVA"/>
    <x v="0"/>
    <s v="John"/>
    <s v="M"/>
    <n v="5511991444809"/>
    <s v="Novo"/>
    <s v="Assinado"/>
    <d v="2026-05-22T00:00:00"/>
    <x v="4"/>
  </r>
  <r>
    <d v="2026-05-13T00:00:00"/>
    <d v="2026-05-16T00:00:00"/>
    <d v="2026-05-19T00:00:00"/>
    <s v="SIDNEY CASCIALLI ROSA"/>
    <x v="0"/>
    <s v="John"/>
    <s v="M"/>
    <n v="5512997266629"/>
    <s v="Novo"/>
    <s v="Assinado"/>
    <d v="2026-05-22T00:00:00"/>
    <x v="4"/>
  </r>
  <r>
    <d v="2026-05-13T00:00:00"/>
    <d v="2026-05-16T00:00:00"/>
    <d v="2026-05-19T00:00:00"/>
    <s v="JOSE DE SOUZA PRATES"/>
    <x v="3"/>
    <s v="John"/>
    <s v="M"/>
    <n v="5511981886964"/>
    <s v="Renovação"/>
    <s v="Na planilha"/>
    <d v="2026-05-22T00:00:00"/>
    <x v="4"/>
  </r>
  <r>
    <d v="2026-05-13T00:00:00"/>
    <d v="2026-05-16T00:00:00"/>
    <d v="2026-05-19T00:00:00"/>
    <s v="FATIMA ABDOUNI"/>
    <x v="2"/>
    <s v="John"/>
    <s v="M"/>
    <n v="5511994987136"/>
    <s v="Renovação"/>
    <s v="Assinado"/>
    <d v="2026-05-22T00:00:00"/>
    <x v="4"/>
  </r>
  <r>
    <d v="2026-05-13T00:00:00"/>
    <d v="2026-05-16T00:00:00"/>
    <d v="2026-05-19T00:00:00"/>
    <s v="NILTON JESUS DOS SANTOS"/>
    <x v="2"/>
    <s v="Leticia"/>
    <s v="F"/>
    <n v="5511976179540"/>
    <s v="Novo"/>
    <s v="Assinado"/>
    <d v="2026-05-22T00:00:00"/>
    <x v="4"/>
  </r>
  <r>
    <d v="2026-05-13T00:00:00"/>
    <d v="2026-05-16T00:00:00"/>
    <d v="2026-05-19T00:00:00"/>
    <s v="MICHELLE ALCANTARA PEREIRA DOS SANTOS"/>
    <x v="1"/>
    <s v="Leticia"/>
    <s v="F"/>
    <n v="5511941131888"/>
    <s v="Novo"/>
    <s v="Assinado"/>
    <d v="2026-05-22T00:00:00"/>
    <x v="4"/>
  </r>
  <r>
    <d v="2026-05-14T00:00:00"/>
    <d v="2026-05-17T00:00:00"/>
    <d v="2026-05-20T00:00:00"/>
    <s v="APARECIDA SUELI DAVI SEVERIANO"/>
    <x v="0"/>
    <s v="Leticia"/>
    <s v="F"/>
    <n v="5513996737300"/>
    <s v="Novo"/>
    <s v="Assinado"/>
    <d v="2026-05-23T00:00:00"/>
    <x v="4"/>
  </r>
  <r>
    <d v="2026-05-14T00:00:00"/>
    <d v="2026-05-17T00:00:00"/>
    <d v="2026-05-20T00:00:00"/>
    <s v="MARINA POLTRONIERI MOLINA"/>
    <x v="0"/>
    <s v="Leticia"/>
    <s v="F"/>
    <n v="5516992989590"/>
    <s v="Novo"/>
    <s v="Assinado"/>
    <d v="2026-05-23T00:00:00"/>
    <x v="4"/>
  </r>
  <r>
    <d v="2026-05-14T00:00:00"/>
    <d v="2026-05-17T00:00:00"/>
    <d v="2026-05-20T00:00:00"/>
    <s v="MARCIEL DOS SANTOS"/>
    <x v="1"/>
    <s v="John"/>
    <s v="M"/>
    <n v="5511940074109"/>
    <s v="Renovação"/>
    <s v="Assinado"/>
    <d v="2026-05-23T00:00:00"/>
    <x v="4"/>
  </r>
  <r>
    <d v="2026-05-14T00:00:00"/>
    <d v="2026-05-17T00:00:00"/>
    <d v="2026-05-20T00:00:00"/>
    <s v="EDMILSON DE SOUZA GOMES"/>
    <x v="4"/>
    <s v="John"/>
    <s v="M"/>
    <n v="5519983559963"/>
    <s v="Novo"/>
    <s v="Assinado"/>
    <d v="2026-05-23T00:00:00"/>
    <x v="4"/>
  </r>
  <r>
    <d v="2026-05-14T00:00:00"/>
    <d v="2026-05-17T00:00:00"/>
    <d v="2026-05-20T00:00:00"/>
    <s v="GEAN GONCALVES COELHO"/>
    <x v="1"/>
    <s v="John"/>
    <s v="M"/>
    <n v="5511998412568"/>
    <s v="Renovação"/>
    <s v="Assinado"/>
    <d v="2026-05-23T00:00:00"/>
    <x v="4"/>
  </r>
  <r>
    <d v="2026-05-14T00:00:00"/>
    <d v="2026-05-17T00:00:00"/>
    <d v="2026-05-20T00:00:00"/>
    <s v="FABIO KLIPPEL"/>
    <x v="4"/>
    <s v="Jacqueline"/>
    <s v="F"/>
    <n v="5551959944803"/>
    <s v="Novo"/>
    <s v="Na planilha"/>
    <d v="2026-05-23T00:00:00"/>
    <x v="4"/>
  </r>
  <r>
    <d v="2026-05-14T00:00:00"/>
    <d v="2026-05-17T00:00:00"/>
    <d v="2026-05-20T00:00:00"/>
    <s v="EDSON CEZARIO DIAS"/>
    <x v="1"/>
    <s v="Leticia"/>
    <s v="F"/>
    <n v="551983285780"/>
    <s v="Novo"/>
    <s v="Assinado"/>
    <d v="2026-05-23T00:00:00"/>
    <x v="4"/>
  </r>
  <r>
    <d v="2026-05-14T00:00:00"/>
    <d v="2026-05-17T00:00:00"/>
    <d v="2026-05-20T00:00:00"/>
    <s v="CARLIANE MARIA DE SANTANA SILVA"/>
    <x v="3"/>
    <s v="Isabella"/>
    <s v="F"/>
    <n v="5519991308132"/>
    <s v="Novo"/>
    <s v="Assinado"/>
    <d v="2026-05-23T00:00:00"/>
    <x v="4"/>
  </r>
  <r>
    <d v="2026-05-14T00:00:00"/>
    <d v="2026-05-17T00:00:00"/>
    <d v="2026-05-20T00:00:00"/>
    <s v="ARLINDO DOMINGUES"/>
    <x v="3"/>
    <s v="Isabella"/>
    <s v="F"/>
    <n v="5519991400035"/>
    <s v="Novo"/>
    <s v="Erro"/>
    <d v="2026-05-23T00:00:00"/>
    <x v="4"/>
  </r>
  <r>
    <d v="2026-05-15T00:00:00"/>
    <d v="2026-05-18T00:00:00"/>
    <d v="2026-05-21T00:00:00"/>
    <s v="EVERTON MONTEIRO DE SOUZA"/>
    <x v="3"/>
    <s v="John"/>
    <s v="M"/>
    <n v="5511959921871"/>
    <s v="Novo"/>
    <s v="Assinado"/>
    <d v="2026-05-24T00:00:00"/>
    <x v="4"/>
  </r>
  <r>
    <d v="2026-05-15T00:00:00"/>
    <d v="2026-05-18T00:00:00"/>
    <d v="2026-05-21T00:00:00"/>
    <s v="EVERTON MONTEIRO DE SOUZA"/>
    <x v="1"/>
    <s v="John"/>
    <s v="M"/>
    <n v="5511959921871"/>
    <s v="Novo"/>
    <s v="Assinado"/>
    <d v="2026-05-24T00:00:00"/>
    <x v="4"/>
  </r>
  <r>
    <d v="2026-05-15T00:00:00"/>
    <d v="2026-05-18T00:00:00"/>
    <d v="2026-05-21T00:00:00"/>
    <s v="JOSE GILVAN DE CARVALHO DINIZ"/>
    <x v="0"/>
    <s v="John"/>
    <s v="M"/>
    <n v="5511985075420"/>
    <s v="Novo"/>
    <s v="Assinado"/>
    <d v="2026-05-24T00:00:00"/>
    <x v="4"/>
  </r>
  <r>
    <d v="2026-05-15T00:00:00"/>
    <d v="2026-05-18T00:00:00"/>
    <d v="2026-05-21T00:00:00"/>
    <s v="FIRMINO CANDIDO DOS ANJOS NETO"/>
    <x v="0"/>
    <s v="John"/>
    <s v="M"/>
    <n v="5511919180196"/>
    <s v="Novo"/>
    <s v="Cancelado"/>
    <d v="2026-05-24T00:00:00"/>
    <x v="4"/>
  </r>
  <r>
    <d v="2026-05-15T00:00:00"/>
    <d v="2026-05-18T00:00:00"/>
    <d v="2026-05-21T00:00:00"/>
    <s v="REGINA LUISA FERNANDES BARROS ALVES"/>
    <x v="3"/>
    <s v="John"/>
    <s v="M"/>
    <n v="5511949414959"/>
    <s v="Novo"/>
    <s v="Assinado"/>
    <d v="2026-05-24T00:00:00"/>
    <x v="4"/>
  </r>
  <r>
    <d v="2026-05-15T00:00:00"/>
    <d v="2026-05-18T00:00:00"/>
    <d v="2026-05-21T00:00:00"/>
    <s v="MARIA ELISA MATEUS"/>
    <x v="3"/>
    <s v="John"/>
    <s v="M"/>
    <n v="5511986097742"/>
    <s v="Renovação"/>
    <s v="Assinado"/>
    <d v="2026-05-24T00:00:00"/>
    <x v="4"/>
  </r>
  <r>
    <d v="2026-05-15T00:00:00"/>
    <d v="2026-05-18T00:00:00"/>
    <d v="2026-05-21T00:00:00"/>
    <s v="SAMANTA LIMA DE DEUS"/>
    <x v="0"/>
    <s v="Jacqueline"/>
    <s v="F"/>
    <n v="5551997605884"/>
    <s v="Novo"/>
    <s v="Assinado"/>
    <d v="2026-05-24T00:00:00"/>
    <x v="4"/>
  </r>
  <r>
    <d v="2026-05-15T00:00:00"/>
    <d v="2026-05-18T00:00:00"/>
    <d v="2026-05-21T00:00:00"/>
    <s v="CELENIS MONTMORENCY BORGHI DE ARAUJO"/>
    <x v="0"/>
    <s v="Jacqueline"/>
    <s v="F"/>
    <n v="5511966350584"/>
    <s v="Novo"/>
    <s v="Assinado"/>
    <d v="2026-05-24T00:00:00"/>
    <x v="4"/>
  </r>
  <r>
    <d v="2026-05-15T00:00:00"/>
    <d v="2026-05-18T00:00:00"/>
    <d v="2026-05-21T00:00:00"/>
    <s v="GASPAR JOSE DA SILVA"/>
    <x v="0"/>
    <s v="John"/>
    <s v="M"/>
    <n v="5516988747432"/>
    <s v="Novo"/>
    <s v="Assinado"/>
    <d v="2026-05-24T00:00:00"/>
    <x v="4"/>
  </r>
  <r>
    <d v="2026-05-15T00:00:00"/>
    <d v="2026-05-18T00:00:00"/>
    <d v="2026-05-21T00:00:00"/>
    <s v="JACKSON LANZILOTI JUNIOR "/>
    <x v="0"/>
    <s v="Isabella"/>
    <s v="F"/>
    <n v="5511932250726"/>
    <s v="Novo"/>
    <s v="Assinado"/>
    <d v="2026-05-24T00:00:00"/>
    <x v="4"/>
  </r>
  <r>
    <d v="2026-05-18T00:00:00"/>
    <d v="2026-05-21T00:00:00"/>
    <d v="2026-05-24T00:00:00"/>
    <s v="RODRIGO CARDOZO DE OLIVEIRA"/>
    <x v="4"/>
    <s v="Jéssica"/>
    <s v="F"/>
    <n v="5517988185239"/>
    <s v="Novo"/>
    <s v="Assinado"/>
    <d v="2026-05-27T00:00:00"/>
    <x v="4"/>
  </r>
  <r>
    <d v="2026-05-18T00:00:00"/>
    <d v="2026-05-21T00:00:00"/>
    <d v="2026-05-24T00:00:00"/>
    <s v="ANDRE GOMES THIVES"/>
    <x v="4"/>
    <s v="Jéssica"/>
    <s v="F"/>
    <n v="5519993875080"/>
    <s v="Novo"/>
    <s v="Assinado"/>
    <d v="2026-05-27T00:00:00"/>
    <x v="4"/>
  </r>
  <r>
    <d v="2026-05-18T00:00:00"/>
    <d v="2026-05-21T00:00:00"/>
    <d v="2026-05-24T00:00:00"/>
    <s v="JOSE SUELDO DE SOUSA NASCIMENTO"/>
    <x v="2"/>
    <s v="Myrelle"/>
    <s v="F"/>
    <n v="5513974110711"/>
    <s v="Novo"/>
    <s v="Assinado"/>
    <d v="2026-05-27T00:00:00"/>
    <x v="4"/>
  </r>
  <r>
    <d v="2026-05-18T00:00:00"/>
    <d v="2026-05-21T00:00:00"/>
    <d v="2026-05-24T00:00:00"/>
    <s v="CARLOS ANTONIO DE MEDEIROS JUNIOR"/>
    <x v="0"/>
    <s v="Enzo"/>
    <s v="M"/>
    <n v="5511941741615"/>
    <s v="Novo"/>
    <s v="Assinado"/>
    <d v="2026-05-27T00:00:00"/>
    <x v="4"/>
  </r>
  <r>
    <d v="2026-05-18T00:00:00"/>
    <d v="2026-05-21T00:00:00"/>
    <d v="2026-05-24T00:00:00"/>
    <s v="JOICI MARIA CAVALCANTE SANTOS"/>
    <x v="5"/>
    <s v="Isabella"/>
    <s v="F"/>
    <n v="5511982427196"/>
    <s v="Novo"/>
    <s v="Assinado"/>
    <d v="2026-05-27T00:00:00"/>
    <x v="4"/>
  </r>
  <r>
    <d v="2026-05-18T00:00:00"/>
    <d v="2026-05-21T00:00:00"/>
    <d v="2026-05-24T00:00:00"/>
    <s v="ROBSON DOMINGOS"/>
    <x v="4"/>
    <s v="Isabella"/>
    <s v="F"/>
    <n v="5519984098987"/>
    <s v="Novo"/>
    <s v="Assinado"/>
    <d v="2026-05-27T00:00:00"/>
    <x v="4"/>
  </r>
  <r>
    <d v="2026-05-18T00:00:00"/>
    <d v="2026-05-21T00:00:00"/>
    <d v="2026-05-24T00:00:00"/>
    <s v="ROSENILDO SANTOS DE LIMA"/>
    <x v="0"/>
    <s v="Isabella"/>
    <s v="F"/>
    <n v="5511959616083"/>
    <s v="Novo"/>
    <s v="Assinado"/>
    <d v="2026-05-27T00:00:00"/>
    <x v="4"/>
  </r>
  <r>
    <d v="2026-05-18T00:00:00"/>
    <d v="2026-05-21T00:00:00"/>
    <d v="2026-05-24T00:00:00"/>
    <s v="DIANE DE CASTRO SILVA"/>
    <x v="2"/>
    <s v="John"/>
    <s v="M"/>
    <n v="5513997477172"/>
    <s v="Novo"/>
    <s v="Assinado"/>
    <d v="2026-05-27T00:00:00"/>
    <x v="4"/>
  </r>
  <r>
    <d v="2026-05-18T00:00:00"/>
    <d v="2026-05-21T00:00:00"/>
    <d v="2026-05-24T00:00:00"/>
    <s v="ANTONIO MARCOS DA SILVA"/>
    <x v="2"/>
    <s v="Jéssica"/>
    <s v="F"/>
    <n v="5517981085742"/>
    <s v="Novo"/>
    <s v="Assinado"/>
    <d v="2026-05-27T00:00:00"/>
    <x v="4"/>
  </r>
  <r>
    <d v="2026-05-19T00:00:00"/>
    <d v="2026-05-22T00:00:00"/>
    <d v="2026-05-25T00:00:00"/>
    <s v="NILTON SERGIO DA MATA VIEIRA"/>
    <x v="1"/>
    <s v="Jéssica"/>
    <s v="F"/>
    <n v="5511975215664"/>
    <s v="Novo"/>
    <s v="Assinado"/>
    <d v="2026-05-28T00:00:00"/>
    <x v="4"/>
  </r>
  <r>
    <d v="2026-05-19T00:00:00"/>
    <d v="2026-05-22T00:00:00"/>
    <d v="2026-05-25T00:00:00"/>
    <s v="ELIANA FRANCISCA DOS SANTOS BATISTA"/>
    <x v="0"/>
    <s v="Jacqueline"/>
    <s v="F"/>
    <n v="5531987047152"/>
    <s v="Novo"/>
    <s v="Assinado"/>
    <d v="2026-05-28T00:00:00"/>
    <x v="4"/>
  </r>
  <r>
    <d v="2026-05-19T00:00:00"/>
    <d v="2026-05-22T00:00:00"/>
    <d v="2026-05-25T00:00:00"/>
    <s v="ADAILSON LOPES DOS SANTOS"/>
    <x v="4"/>
    <s v="Leticia"/>
    <s v="F"/>
    <n v="5516988519603"/>
    <s v="Novo"/>
    <s v="Assinado(manual)"/>
    <d v="2026-05-28T00:00:00"/>
    <x v="4"/>
  </r>
  <r>
    <d v="2026-05-19T00:00:00"/>
    <d v="2026-05-22T00:00:00"/>
    <d v="2026-05-25T00:00:00"/>
    <s v="RAFAEL DIAS GOMES"/>
    <x v="1"/>
    <s v="Leticia"/>
    <s v="F"/>
    <n v="5511952443003"/>
    <s v="Renovação"/>
    <s v="Assinado"/>
    <d v="2026-05-28T00:00:00"/>
    <x v="4"/>
  </r>
  <r>
    <d v="2026-05-19T00:00:00"/>
    <d v="2026-05-22T00:00:00"/>
    <d v="2026-05-25T00:00:00"/>
    <s v="FABRICIO DANTAS FELIX"/>
    <x v="1"/>
    <s v="Leticia"/>
    <s v="F"/>
    <n v="5511958917636"/>
    <s v="Novo"/>
    <s v="Na planilha"/>
    <d v="2026-05-28T00:00:00"/>
    <x v="4"/>
  </r>
  <r>
    <d v="2026-05-19T00:00:00"/>
    <d v="2026-05-22T00:00:00"/>
    <d v="2026-05-25T00:00:00"/>
    <s v="CLAUDIO FERNANDES DE OLIVEIRA"/>
    <x v="0"/>
    <s v="John"/>
    <s v="M"/>
    <n v="5511982117888"/>
    <s v="Renovação"/>
    <s v="Na planilha"/>
    <d v="2026-05-28T00:00:00"/>
    <x v="4"/>
  </r>
  <r>
    <d v="2026-05-19T00:00:00"/>
    <d v="2026-05-22T00:00:00"/>
    <d v="2026-05-25T00:00:00"/>
    <s v="DOUGLAS DA COSTA VASCONCELOS"/>
    <x v="2"/>
    <s v="John"/>
    <s v="M"/>
    <n v="5511994413199"/>
    <s v="Novo"/>
    <s v="Assinado"/>
    <d v="2026-05-28T00:00:00"/>
    <x v="4"/>
  </r>
  <r>
    <d v="2026-05-19T00:00:00"/>
    <d v="2026-05-22T00:00:00"/>
    <d v="2026-05-25T00:00:00"/>
    <s v="FIRMINO CANDIDO DOS ANJOS NETO"/>
    <x v="0"/>
    <s v="John"/>
    <s v="M"/>
    <n v="5511919180196"/>
    <s v="Novo"/>
    <s v="Na planilha"/>
    <d v="2026-05-28T00:00:00"/>
    <x v="4"/>
  </r>
  <r>
    <d v="2026-05-19T00:00:00"/>
    <d v="2026-05-22T00:00:00"/>
    <d v="2026-05-25T00:00:00"/>
    <s v="FLOR DE MANDACARU BUFFET E EVENTOS CORPORATIVOS LTDA"/>
    <x v="1"/>
    <s v="John"/>
    <s v="M"/>
    <n v="5511991713071"/>
    <s v="Novo"/>
    <s v="Assinado"/>
    <d v="2026-05-28T00:00:00"/>
    <x v="4"/>
  </r>
  <r>
    <d v="2026-05-19T00:00:00"/>
    <d v="2026-05-22T00:00:00"/>
    <d v="2026-05-25T00:00:00"/>
    <s v="WAGNER FERREIRA DE OLIVEIRA"/>
    <x v="2"/>
    <s v="John"/>
    <s v="M"/>
    <n v="5511972961232"/>
    <s v="Novo"/>
    <s v="Assinado"/>
    <d v="2026-05-28T00:00:00"/>
    <x v="4"/>
  </r>
  <r>
    <d v="2026-05-19T00:00:00"/>
    <d v="2026-05-22T00:00:00"/>
    <d v="2026-05-25T00:00:00"/>
    <s v="WALLACE CORREA PEREIRA BAHIA"/>
    <x v="4"/>
    <s v="John"/>
    <s v="M"/>
    <n v="5512982997884"/>
    <s v="Novo"/>
    <s v="Assinado"/>
    <d v="2026-05-28T00:00:00"/>
    <x v="4"/>
  </r>
  <r>
    <d v="2026-05-20T00:00:00"/>
    <d v="2026-05-23T00:00:00"/>
    <d v="2026-05-26T00:00:00"/>
    <s v="MARIA VITORIA DE REZENDE ALVES CAVALCANTE"/>
    <x v="0"/>
    <s v="John"/>
    <s v="M"/>
    <n v="5511957379168"/>
    <s v="Novo"/>
    <s v="Assinado"/>
    <d v="2026-05-29T00:00:00"/>
    <x v="4"/>
  </r>
  <r>
    <d v="2026-05-20T00:00:00"/>
    <d v="2026-05-23T00:00:00"/>
    <d v="2026-05-26T00:00:00"/>
    <s v="RITA DE CASSIA REZENDE ALVES"/>
    <x v="4"/>
    <s v="John"/>
    <s v="M"/>
    <n v="5511957379168"/>
    <s v="Novo"/>
    <s v="Cancelado"/>
    <d v="2026-05-29T00:00:00"/>
    <x v="4"/>
  </r>
  <r>
    <d v="2026-05-20T00:00:00"/>
    <d v="2026-05-23T00:00:00"/>
    <d v="2026-05-26T00:00:00"/>
    <s v="JOSE CARLOS NOGUEIRA"/>
    <x v="0"/>
    <s v="Leticia"/>
    <s v="F"/>
    <n v="5511983757324"/>
    <s v="Novo"/>
    <s v="Assinado"/>
    <d v="2026-05-29T00:00:00"/>
    <x v="4"/>
  </r>
  <r>
    <d v="2026-05-20T00:00:00"/>
    <d v="2026-05-23T00:00:00"/>
    <d v="2026-05-26T00:00:00"/>
    <s v="ROGERIO MOREIRA DE MENEZES"/>
    <x v="3"/>
    <s v="Jacqueline"/>
    <s v="F"/>
    <n v="5511947630089"/>
    <s v="Novo"/>
    <s v="Assinado"/>
    <d v="2026-05-29T00:00:00"/>
    <x v="4"/>
  </r>
  <r>
    <d v="2026-05-20T00:00:00"/>
    <d v="2026-05-23T00:00:00"/>
    <d v="2026-05-26T00:00:00"/>
    <s v="PAULO APARECIDO CAMOES"/>
    <x v="0"/>
    <s v="Myrelle"/>
    <s v="F"/>
    <n v="5511942559634"/>
    <s v="Novo"/>
    <s v="Assinado"/>
    <d v="2026-05-29T00:00:00"/>
    <x v="4"/>
  </r>
  <r>
    <d v="2026-05-20T00:00:00"/>
    <d v="2026-05-23T00:00:00"/>
    <d v="2026-05-26T00:00:00"/>
    <s v="JACQUELINE FEITEIRO DE QUEIROZ SANTOS"/>
    <x v="3"/>
    <s v="Jacqueline"/>
    <s v="F"/>
    <n v="5511932328607"/>
    <s v="Novo"/>
    <s v="Assinado"/>
    <d v="2026-05-29T00:00:00"/>
    <x v="4"/>
  </r>
  <r>
    <d v="2026-05-20T00:00:00"/>
    <d v="2026-05-23T00:00:00"/>
    <d v="2026-05-26T00:00:00"/>
    <s v="ANDERSON JOSE DA SILVA"/>
    <x v="1"/>
    <s v="Isabella"/>
    <s v="F"/>
    <n v="5511957249211"/>
    <s v="Renovação"/>
    <s v="Na planilha"/>
    <d v="2026-05-29T00:00:00"/>
    <x v="4"/>
  </r>
  <r>
    <d v="2026-05-20T00:00:00"/>
    <d v="2026-05-23T00:00:00"/>
    <d v="2026-05-26T00:00:00"/>
    <s v="ANTONIO COSMO DE ARAUJO"/>
    <x v="0"/>
    <s v="Isabella"/>
    <s v="F"/>
    <n v="5511999500945"/>
    <s v="Novo"/>
    <s v="Assinado(manual)"/>
    <d v="2026-05-29T00:00:00"/>
    <x v="4"/>
  </r>
  <r>
    <d v="2026-05-21T00:00:00"/>
    <d v="2026-05-24T00:00:00"/>
    <d v="2026-05-27T00:00:00"/>
    <s v="JILBERTO TAVARES"/>
    <x v="2"/>
    <s v="John"/>
    <s v="M"/>
    <n v="5511994993879"/>
    <s v="Novo"/>
    <s v="Na planilha"/>
    <d v="2026-05-30T00:00:00"/>
    <x v="4"/>
  </r>
  <r>
    <d v="2026-05-21T00:00:00"/>
    <d v="2026-05-24T00:00:00"/>
    <d v="2026-05-27T00:00:00"/>
    <s v="SARAH CHIAPESAN DE FREITAS"/>
    <x v="2"/>
    <s v="Enzo"/>
    <s v="M"/>
    <n v="5511966288975"/>
    <s v="Renovação"/>
    <s v="Assinado"/>
    <d v="2026-05-30T00:00:00"/>
    <x v="4"/>
  </r>
  <r>
    <d v="2026-05-21T00:00:00"/>
    <d v="2026-05-24T00:00:00"/>
    <d v="2026-05-27T00:00:00"/>
    <s v="GERCI ERNESTINO DOS SANTOS"/>
    <x v="1"/>
    <s v="Enzo"/>
    <s v="M"/>
    <n v="5513981638789"/>
    <s v="Renovação"/>
    <s v="Erro"/>
    <d v="2026-05-30T00:00:00"/>
    <x v="4"/>
  </r>
  <r>
    <d v="2026-05-21T00:00:00"/>
    <d v="2026-05-24T00:00:00"/>
    <d v="2026-05-27T00:00:00"/>
    <s v="GERCI ERNESTINO DOS SANTOS"/>
    <x v="1"/>
    <s v="Enzo"/>
    <s v="M"/>
    <n v="5513981638789"/>
    <s v="Renovação"/>
    <s v="Erro"/>
    <d v="2026-05-30T00:00:00"/>
    <x v="4"/>
  </r>
  <r>
    <d v="2026-05-21T00:00:00"/>
    <d v="2026-05-24T00:00:00"/>
    <d v="2026-05-27T00:00:00"/>
    <s v="VITOR HUGO DE ABREU LAURIANO"/>
    <x v="4"/>
    <s v="Enzo"/>
    <s v="M"/>
    <n v="5511958127803"/>
    <s v="Renovação"/>
    <s v="Assinado"/>
    <d v="2026-05-30T00:00:00"/>
    <x v="4"/>
  </r>
  <r>
    <d v="2026-05-21T00:00:00"/>
    <d v="2026-05-24T00:00:00"/>
    <d v="2026-05-27T00:00:00"/>
    <s v="CLEITON GOMES DOS SANTOS"/>
    <x v="1"/>
    <s v="Enzo"/>
    <s v="M"/>
    <n v="5511957082255"/>
    <s v="Renovação"/>
    <s v="Assinado"/>
    <d v="2026-05-30T00:00:00"/>
    <x v="4"/>
  </r>
  <r>
    <d v="2026-05-21T00:00:00"/>
    <d v="2026-05-24T00:00:00"/>
    <d v="2026-05-27T00:00:00"/>
    <s v="JOSE ROBERTO DA SILVA"/>
    <x v="4"/>
    <s v="Myrelle"/>
    <s v="F"/>
    <n v="5511974819004"/>
    <s v="Novo"/>
    <s v="Cancelado"/>
    <d v="2026-05-30T00:00:00"/>
    <x v="4"/>
  </r>
  <r>
    <d v="2026-05-21T00:00:00"/>
    <d v="2026-05-24T00:00:00"/>
    <d v="2026-05-27T00:00:00"/>
    <s v="WELLINGTON PEDRO DE SOUZA"/>
    <x v="0"/>
    <s v="Myrelle"/>
    <s v="F"/>
    <n v="5511977615522"/>
    <s v="Novo"/>
    <s v="Assinado"/>
    <d v="2026-05-30T00:00:00"/>
    <x v="4"/>
  </r>
  <r>
    <d v="2026-05-21T00:00:00"/>
    <d v="2026-05-24T00:00:00"/>
    <d v="2026-05-27T00:00:00"/>
    <s v="JOSEILDO BELO"/>
    <x v="0"/>
    <s v="Leticia"/>
    <s v="F"/>
    <n v="5514998147882"/>
    <s v="Novo"/>
    <s v="Assinado"/>
    <d v="2026-05-30T00:00:00"/>
    <x v="4"/>
  </r>
  <r>
    <d v="2026-05-21T00:00:00"/>
    <d v="2026-05-24T00:00:00"/>
    <d v="2026-05-27T00:00:00"/>
    <s v="MARCIA FONTANA"/>
    <x v="0"/>
    <s v="Leticia"/>
    <s v="F"/>
    <n v="5517988240655"/>
    <s v="Novo"/>
    <s v="Assinado"/>
    <d v="2026-05-30T00:00:00"/>
    <x v="4"/>
  </r>
  <r>
    <d v="2026-05-21T00:00:00"/>
    <d v="2026-05-24T00:00:00"/>
    <d v="2026-05-27T00:00:00"/>
    <s v="VALTER BERGUE"/>
    <x v="4"/>
    <s v="Leticia"/>
    <s v="F"/>
    <n v="5515996593037"/>
    <s v="Novo"/>
    <s v="Assinado"/>
    <d v="2026-05-30T00:00:00"/>
    <x v="4"/>
  </r>
  <r>
    <d v="2026-05-21T00:00:00"/>
    <d v="2026-05-24T00:00:00"/>
    <d v="2026-05-27T00:00:00"/>
    <s v="DENIS FRANCISCO GOMES DA SILVA"/>
    <x v="2"/>
    <s v="Leticia"/>
    <s v="F"/>
    <n v="5511965357729"/>
    <s v="Novo"/>
    <s v="Assinado"/>
    <d v="2026-05-30T00:00:00"/>
    <x v="4"/>
  </r>
  <r>
    <d v="2026-05-21T00:00:00"/>
    <d v="2026-05-24T00:00:00"/>
    <d v="2026-05-27T00:00:00"/>
    <s v="DEBORA CRISTINA INACIO VITOR"/>
    <x v="1"/>
    <s v="Myrelle"/>
    <s v="F"/>
    <n v="5512991025190"/>
    <s v="Novo"/>
    <s v="Assinado"/>
    <d v="2026-05-30T00:00:00"/>
    <x v="4"/>
  </r>
  <r>
    <d v="2026-05-21T00:00:00"/>
    <d v="2026-05-24T00:00:00"/>
    <d v="2026-05-27T00:00:00"/>
    <s v="DIANA QUIRINO MONTEIRO"/>
    <x v="3"/>
    <s v="John"/>
    <s v="M"/>
    <n v="5511997308261"/>
    <s v="Novo"/>
    <s v="Assinado"/>
    <d v="2026-05-30T00:00:00"/>
    <x v="4"/>
  </r>
  <r>
    <d v="2026-05-21T00:00:00"/>
    <d v="2026-05-24T00:00:00"/>
    <d v="2026-05-27T00:00:00"/>
    <s v="FERNANDA SILVA DE OLIVEIRA"/>
    <x v="1"/>
    <s v="John"/>
    <s v="M"/>
    <n v="5511996972502"/>
    <s v="Novo"/>
    <s v="Na planilha"/>
    <d v="2026-05-30T00:00:00"/>
    <x v="4"/>
  </r>
  <r>
    <d v="2026-05-21T00:00:00"/>
    <d v="2026-05-24T00:00:00"/>
    <d v="2026-05-27T00:00:00"/>
    <s v="ELISANGELA MARQUES DA SILVA"/>
    <x v="0"/>
    <s v="John"/>
    <s v="M"/>
    <n v="5511985420898"/>
    <s v="Novo"/>
    <s v="Assinado"/>
    <d v="2026-05-30T00:00:00"/>
    <x v="4"/>
  </r>
  <r>
    <d v="2026-05-21T00:00:00"/>
    <d v="2026-05-24T00:00:00"/>
    <d v="2026-05-27T00:00:00"/>
    <s v="KELLY CARDOSO DE SOUZA"/>
    <x v="2"/>
    <s v="Isabella"/>
    <s v="F"/>
    <n v="5511996707269"/>
    <s v="Novo"/>
    <s v="Na planilha"/>
    <d v="2026-05-30T00:00:00"/>
    <x v="4"/>
  </r>
  <r>
    <d v="2026-05-21T00:00:00"/>
    <d v="2026-05-24T00:00:00"/>
    <d v="2026-05-27T00:00:00"/>
    <s v="ROGERIO GARZARO"/>
    <x v="1"/>
    <s v="Isabella"/>
    <s v="F"/>
    <n v="5511913615406"/>
    <s v="Novo"/>
    <s v="Assinado(manual)"/>
    <d v="2026-05-30T00:00:00"/>
    <x v="4"/>
  </r>
  <r>
    <d v="2026-05-21T00:00:00"/>
    <d v="2026-05-24T00:00:00"/>
    <d v="2026-05-27T00:00:00"/>
    <s v="GILBERTO ESTEVES"/>
    <x v="4"/>
    <s v="Isabella"/>
    <s v="F"/>
    <n v="5511972137878"/>
    <s v="Novo"/>
    <s v="Assinado"/>
    <d v="2026-05-30T00:00:00"/>
    <x v="4"/>
  </r>
  <r>
    <d v="2026-05-21T00:00:00"/>
    <d v="2026-05-24T00:00:00"/>
    <d v="2026-05-27T00:00:00"/>
    <s v="ANDRE APARECIDO DOS REIS OLIVEIRA"/>
    <x v="0"/>
    <s v="Jacqueline"/>
    <s v="F"/>
    <n v="5531971543922"/>
    <s v="Novo"/>
    <s v="Assinado"/>
    <d v="2026-05-30T00:00:00"/>
    <x v="4"/>
  </r>
  <r>
    <d v="2026-05-21T00:00:00"/>
    <d v="2026-05-24T00:00:00"/>
    <d v="2026-05-27T00:00:00"/>
    <s v="LUIZ FELIPE MALAQUIAS TAVARES"/>
    <x v="1"/>
    <s v="Leticia"/>
    <s v="F"/>
    <n v="5511993396277"/>
    <s v="Novo"/>
    <s v="Na planilha"/>
    <d v="2026-05-30T00:00:00"/>
    <x v="4"/>
  </r>
  <r>
    <d v="2026-05-22T00:00:00"/>
    <d v="2026-05-25T00:00:00"/>
    <d v="2026-05-28T00:00:00"/>
    <s v="DANIEL ROSSI"/>
    <x v="4"/>
    <s v="Isabella"/>
    <s v="F"/>
    <n v="5511944683187"/>
    <s v="Novo"/>
    <s v="Assinado"/>
    <d v="2026-05-31T00:00:00"/>
    <x v="4"/>
  </r>
  <r>
    <d v="2026-05-22T00:00:00"/>
    <d v="2026-05-25T00:00:00"/>
    <d v="2026-05-28T00:00:00"/>
    <s v="ALEXANDRO PEREIRA DOS SANTOS"/>
    <x v="0"/>
    <s v="Jacqueline"/>
    <s v="F"/>
    <n v="5511947794836"/>
    <s v="Novo"/>
    <s v="Assinado"/>
    <d v="2026-05-31T00:00:00"/>
    <x v="4"/>
  </r>
  <r>
    <d v="2026-05-22T00:00:00"/>
    <d v="2026-05-25T00:00:00"/>
    <d v="2026-05-28T00:00:00"/>
    <s v="DAIANE CINTIA DA SILVA SANTOS"/>
    <x v="1"/>
    <s v="John"/>
    <s v="M"/>
    <n v="5511961785403"/>
    <s v="Novo"/>
    <s v="Na planilha"/>
    <d v="2026-05-31T00:00:00"/>
    <x v="4"/>
  </r>
  <r>
    <d v="2026-05-22T00:00:00"/>
    <d v="2026-05-25T00:00:00"/>
    <d v="2026-05-28T00:00:00"/>
    <s v="MARCOS FERNANDES DE PAULO FILHO"/>
    <x v="1"/>
    <s v="Jéssica"/>
    <s v="F"/>
    <n v="5511986509006"/>
    <s v="Novo"/>
    <s v="Assinado"/>
    <d v="2026-05-31T00:00:00"/>
    <x v="4"/>
  </r>
  <r>
    <d v="2026-05-22T00:00:00"/>
    <d v="2026-05-25T00:00:00"/>
    <d v="2026-05-28T00:00:00"/>
    <s v="JOSIANE PORTELA"/>
    <x v="0"/>
    <s v="John"/>
    <s v="M"/>
    <n v="5519996970257"/>
    <s v="Novo"/>
    <s v="Na planilha"/>
    <d v="2026-05-31T00:00:00"/>
    <x v="4"/>
  </r>
  <r>
    <d v="2026-05-22T00:00:00"/>
    <d v="2026-05-25T00:00:00"/>
    <d v="2026-05-28T00:00:00"/>
    <s v="MARCELO DE LEIROS"/>
    <x v="2"/>
    <s v="John"/>
    <s v="M"/>
    <n v="5511973196112"/>
    <s v="Novo"/>
    <s v="Assinado"/>
    <d v="2026-05-31T00:00:00"/>
    <x v="4"/>
  </r>
  <r>
    <d v="2026-05-22T00:00:00"/>
    <d v="2026-05-25T00:00:00"/>
    <d v="2026-05-28T00:00:00"/>
    <s v="VANESSA CECILIA ALMEIDA DA CONCEICAO"/>
    <x v="2"/>
    <s v="John"/>
    <s v="M"/>
    <n v="5511952737153"/>
    <s v="Novo"/>
    <s v="Assinado"/>
    <d v="2026-05-31T00:00:00"/>
    <x v="4"/>
  </r>
  <r>
    <d v="2026-05-22T00:00:00"/>
    <d v="2026-05-25T00:00:00"/>
    <d v="2026-05-28T00:00:00"/>
    <s v="FABIO CAPELARO"/>
    <x v="0"/>
    <s v="Jacqueline"/>
    <s v="F"/>
    <n v="5549999743731"/>
    <s v="Novo"/>
    <s v="Cancelado"/>
    <d v="2026-05-31T00:00:00"/>
    <x v="4"/>
  </r>
  <r>
    <d v="2026-05-22T00:00:00"/>
    <d v="2026-05-25T00:00:00"/>
    <d v="2026-05-28T00:00:00"/>
    <s v="CARLOS ALBERTO VIEIRA DE CAMPOS"/>
    <x v="1"/>
    <s v="Enzo"/>
    <s v="M"/>
    <n v="5515991454454"/>
    <s v="Novo"/>
    <s v="Assinado"/>
    <d v="2026-05-31T00:00:00"/>
    <x v="4"/>
  </r>
  <r>
    <d v="2026-05-22T00:00:00"/>
    <d v="2026-05-25T00:00:00"/>
    <d v="2026-05-28T00:00:00"/>
    <s v="CEZAR AUGUSTO BARBOSA"/>
    <x v="1"/>
    <s v="Isabella"/>
    <s v="F"/>
    <n v="5511946037598"/>
    <s v="Renovação"/>
    <s v="Assinado"/>
    <d v="2026-05-31T00:00:00"/>
    <x v="4"/>
  </r>
  <r>
    <d v="2026-05-25T00:00:00"/>
    <d v="2026-05-28T00:00:00"/>
    <d v="2026-05-31T00:00:00"/>
    <s v="VALDECI COSTA SILVA"/>
    <x v="1"/>
    <s v="Jéssica"/>
    <s v="F"/>
    <n v="5561995241966"/>
    <s v="Novo"/>
    <s v="Assinado"/>
    <d v="2026-06-03T00:00:00"/>
    <x v="4"/>
  </r>
  <r>
    <d v="2026-05-25T00:00:00"/>
    <d v="2026-05-28T00:00:00"/>
    <d v="2026-05-31T00:00:00"/>
    <s v="DAMIAO ALVES DOS SANTOS"/>
    <x v="1"/>
    <s v="Enzo"/>
    <s v="M"/>
    <n v="5519983557199"/>
    <s v="Novo"/>
    <s v="Assinado(manual)"/>
    <d v="2026-06-03T00:00:00"/>
    <x v="4"/>
  </r>
  <r>
    <d v="2026-05-25T00:00:00"/>
    <d v="2026-05-28T00:00:00"/>
    <d v="2026-05-31T00:00:00"/>
    <s v="RODRIGO ADELINO LOPES"/>
    <x v="2"/>
    <s v="Leticia"/>
    <s v="F"/>
    <n v="5511992783240"/>
    <s v="Novo"/>
    <s v="Assinado"/>
    <d v="2026-06-03T00:00:00"/>
    <x v="4"/>
  </r>
  <r>
    <d v="2026-05-25T00:00:00"/>
    <d v="2026-05-28T00:00:00"/>
    <d v="2026-05-31T00:00:00"/>
    <s v="WAGNER BARREIRA DE ARAUJO"/>
    <x v="11"/>
    <s v="Leticia"/>
    <s v="F"/>
    <n v="5561992254870"/>
    <s v="Novo"/>
    <s v="Assinado"/>
    <d v="2026-06-03T00:00:00"/>
    <x v="4"/>
  </r>
  <r>
    <d v="2026-05-25T00:00:00"/>
    <d v="2026-05-28T00:00:00"/>
    <d v="2026-05-31T00:00:00"/>
    <s v="SEVERINO ABILIO DOS SANTOS"/>
    <x v="2"/>
    <s v="Leticia"/>
    <s v="F"/>
    <n v="5511981015318"/>
    <s v="Novo"/>
    <s v="Assinado"/>
    <d v="2026-06-03T00:00:00"/>
    <x v="4"/>
  </r>
  <r>
    <d v="2026-05-25T00:00:00"/>
    <d v="2026-05-28T00:00:00"/>
    <d v="2026-05-31T00:00:00"/>
    <s v="WURSULA YURI FONSECA PATERNEZ"/>
    <x v="1"/>
    <s v="Leticia"/>
    <s v="F"/>
    <n v="551932307850"/>
    <s v="Novo"/>
    <s v="Assinado"/>
    <d v="2026-06-03T00:00:00"/>
    <x v="4"/>
  </r>
  <r>
    <d v="2026-05-25T00:00:00"/>
    <d v="2026-05-28T00:00:00"/>
    <d v="2026-05-31T00:00:00"/>
    <s v="RANGEL SILVA"/>
    <x v="0"/>
    <s v="Leticia"/>
    <s v="F"/>
    <n v="5561996211765"/>
    <s v="Renovação"/>
    <s v="Na planilha"/>
    <d v="2026-06-03T00:00:00"/>
    <x v="4"/>
  </r>
  <r>
    <d v="2026-05-26T00:00:00"/>
    <d v="2026-05-29T00:00:00"/>
    <d v="2026-06-01T00:00:00"/>
    <s v="RITA DE CASSIA REZENDE ALVES CAVALCANTE"/>
    <x v="0"/>
    <s v="John"/>
    <s v="M"/>
    <n v="5511957379168"/>
    <s v="Novo"/>
    <s v="Assinado"/>
    <d v="2026-06-04T00:00:00"/>
    <x v="4"/>
  </r>
  <r>
    <d v="2026-05-26T00:00:00"/>
    <d v="2026-05-29T00:00:00"/>
    <d v="2026-06-01T00:00:00"/>
    <s v="RITA DE CASSIA REZENDE ALVES CAVALCANTE"/>
    <x v="5"/>
    <s v="John"/>
    <s v="M"/>
    <n v="5511957379168"/>
    <s v="Novo"/>
    <s v="Assinado"/>
    <d v="2026-06-04T00:00:00"/>
    <x v="4"/>
  </r>
  <r>
    <d v="2026-05-26T00:00:00"/>
    <d v="2026-05-29T00:00:00"/>
    <d v="2026-06-01T00:00:00"/>
    <s v="FERNANDA GANDOLPHO FRANCO"/>
    <x v="0"/>
    <s v="John"/>
    <s v="M"/>
    <n v="5511974607597"/>
    <s v="Renovação"/>
    <s v="Assinado"/>
    <d v="2026-06-04T00:00:00"/>
    <x v="4"/>
  </r>
  <r>
    <d v="2026-05-26T00:00:00"/>
    <d v="2026-05-29T00:00:00"/>
    <d v="2026-06-01T00:00:00"/>
    <s v="JOSE NASCIMENTO CORDEIRO DOS SANTOS"/>
    <x v="2"/>
    <s v="John"/>
    <s v="M"/>
    <n v="5511977803515"/>
    <s v="Renovação"/>
    <s v="Assinado(manual)"/>
    <d v="2026-06-04T00:00:00"/>
    <x v="4"/>
  </r>
  <r>
    <d v="2026-05-26T00:00:00"/>
    <d v="2026-05-29T00:00:00"/>
    <d v="2026-06-01T00:00:00"/>
    <s v="HENRIQUE FELIX DA SILVA VIANA"/>
    <x v="0"/>
    <s v="Jacqueline"/>
    <s v="F"/>
    <n v="5511961176167"/>
    <s v="Novo"/>
    <s v="Assinado"/>
    <d v="2026-06-04T00:00:00"/>
    <x v="4"/>
  </r>
  <r>
    <d v="2026-05-26T00:00:00"/>
    <d v="2026-05-29T00:00:00"/>
    <d v="2026-06-01T00:00:00"/>
    <s v="MEIRE VENANCIO CARRIEL RODRIGUES"/>
    <x v="0"/>
    <s v="Isabella"/>
    <s v="F"/>
    <n v="5511987205119"/>
    <s v="Novo"/>
    <s v="Na planilha"/>
    <d v="2026-06-04T00:00:00"/>
    <x v="4"/>
  </r>
  <r>
    <d v="2026-05-26T00:00:00"/>
    <d v="2026-05-29T00:00:00"/>
    <d v="2026-06-01T00:00:00"/>
    <s v="JURANDIR ALVES MARTINS"/>
    <x v="1"/>
    <s v="Isabella"/>
    <s v="F"/>
    <n v="5511994128801"/>
    <s v="Novo"/>
    <s v="Assinado"/>
    <d v="2026-06-04T00:00:00"/>
    <x v="4"/>
  </r>
  <r>
    <d v="2026-05-26T00:00:00"/>
    <d v="2026-05-29T00:00:00"/>
    <d v="2026-06-01T00:00:00"/>
    <s v="MARIANE CARVALHO"/>
    <x v="3"/>
    <s v="John"/>
    <s v="M"/>
    <n v="5511971521164"/>
    <s v="Novo"/>
    <s v="Assinado"/>
    <d v="2026-06-04T00:00:00"/>
    <x v="4"/>
  </r>
  <r>
    <d v="2026-05-27T00:00:00"/>
    <d v="2026-05-30T00:00:00"/>
    <d v="2026-06-02T00:00:00"/>
    <s v="VERIDIANA GODOY VIEIRA"/>
    <x v="2"/>
    <s v="John"/>
    <s v="M"/>
    <n v="5519971706028"/>
    <s v="Novo"/>
    <s v="Assinado"/>
    <d v="2026-06-05T00:00:00"/>
    <x v="4"/>
  </r>
  <r>
    <d v="2026-05-27T00:00:00"/>
    <d v="2026-05-30T00:00:00"/>
    <d v="2026-06-02T00:00:00"/>
    <s v="LUANA GONCALVES DA SILVA GARZARO"/>
    <x v="1"/>
    <s v="Isabella"/>
    <s v="F"/>
    <n v="5511991871403"/>
    <s v="Renovação"/>
    <s v="Assinado"/>
    <d v="2026-06-05T00:00:00"/>
    <x v="4"/>
  </r>
  <r>
    <d v="2026-05-27T00:00:00"/>
    <d v="2026-05-30T00:00:00"/>
    <d v="2026-06-02T00:00:00"/>
    <s v="GETULIO PORFIRIO DE ANDRADE"/>
    <x v="0"/>
    <s v="Jacqueline"/>
    <s v="F"/>
    <n v="5583991272093"/>
    <s v="Novo"/>
    <s v="Cancelado"/>
    <d v="2026-06-05T00:00:00"/>
    <x v="4"/>
  </r>
  <r>
    <d v="2026-05-27T00:00:00"/>
    <d v="2026-05-30T00:00:00"/>
    <d v="2026-06-02T00:00:00"/>
    <s v="BIANCA BELGINI"/>
    <x v="0"/>
    <s v="Jacqueline"/>
    <s v="F"/>
    <n v="5511942914286"/>
    <s v="Novo"/>
    <s v="Cancelado"/>
    <d v="2026-06-05T00:00:00"/>
    <x v="4"/>
  </r>
  <r>
    <d v="2026-05-27T00:00:00"/>
    <d v="2026-05-30T00:00:00"/>
    <d v="2026-06-02T00:00:00"/>
    <s v="TATIANE NEVES DE OLIVEIRA MADURO"/>
    <x v="2"/>
    <s v="John"/>
    <s v="M"/>
    <n v="5512982997884"/>
    <s v="Novo"/>
    <s v="Assinado"/>
    <d v="2026-06-05T00:00:00"/>
    <x v="4"/>
  </r>
  <r>
    <d v="2026-05-27T00:00:00"/>
    <d v="2026-05-30T00:00:00"/>
    <d v="2026-06-02T00:00:00"/>
    <s v="JACSON JORGE DE SOUZA SILVA"/>
    <x v="2"/>
    <s v="John"/>
    <s v="M"/>
    <n v="5512981401133"/>
    <s v="Renovação"/>
    <s v="Assinado"/>
    <d v="2026-06-05T00:00:00"/>
    <x v="4"/>
  </r>
  <r>
    <d v="2026-05-27T00:00:00"/>
    <d v="2026-05-30T00:00:00"/>
    <d v="2026-06-02T00:00:00"/>
    <s v="JULIANA DA SILVA SANTOS DIAS"/>
    <x v="1"/>
    <s v="Jéssica"/>
    <s v="F"/>
    <n v="5511910938596"/>
    <s v="Novo"/>
    <s v="Na planilha"/>
    <d v="2026-06-05T00:00:00"/>
    <x v="4"/>
  </r>
  <r>
    <d v="2026-05-27T00:00:00"/>
    <d v="2026-05-30T00:00:00"/>
    <d v="2026-06-02T00:00:00"/>
    <s v="VERIDIANA GODOY VIEIRA"/>
    <x v="2"/>
    <s v="John"/>
    <s v="M"/>
    <n v="5519971706028"/>
    <s v="Novo"/>
    <s v="Assinado"/>
    <d v="2026-06-05T00:00:00"/>
    <x v="4"/>
  </r>
  <r>
    <d v="2026-05-27T00:00:00"/>
    <d v="2026-05-30T00:00:00"/>
    <d v="2026-06-02T00:00:00"/>
    <s v="MATHEUS BOLGAR DOS SANTOS"/>
    <x v="0"/>
    <s v="Jacqueline"/>
    <s v="F"/>
    <n v="5521971889784"/>
    <s v="Novo"/>
    <s v="Assinado"/>
    <d v="2026-06-05T00:00:00"/>
    <x v="4"/>
  </r>
  <r>
    <d v="2026-05-28T00:00:00"/>
    <d v="2026-05-31T00:00:00"/>
    <d v="2026-06-03T00:00:00"/>
    <s v="MARCIO ADAO MAXIMIANO"/>
    <x v="4"/>
    <s v="Leticia"/>
    <s v="F"/>
    <n v="5519998371737"/>
    <s v="Novo"/>
    <s v="Assinado"/>
    <d v="2026-06-06T00:00:00"/>
    <x v="4"/>
  </r>
  <r>
    <d v="2026-05-28T00:00:00"/>
    <d v="2026-05-31T00:00:00"/>
    <d v="2026-06-03T00:00:00"/>
    <s v="KAIQUE DOS SANTOS PAIVA"/>
    <x v="1"/>
    <s v="Leticia"/>
    <s v="F"/>
    <n v="5511958558605"/>
    <s v="Novo"/>
    <s v="Assinado"/>
    <d v="2026-06-06T00:00:00"/>
    <x v="4"/>
  </r>
  <r>
    <d v="2026-05-28T00:00:00"/>
    <d v="2026-05-31T00:00:00"/>
    <d v="2026-06-03T00:00:00"/>
    <s v="DIOGO BATISTA SANTOS SILVA"/>
    <x v="0"/>
    <s v="Jacqueline"/>
    <s v="F"/>
    <n v="5511949863027"/>
    <s v="Novo"/>
    <s v="Assinado(manual)"/>
    <d v="2026-06-06T00:00:00"/>
    <x v="4"/>
  </r>
  <r>
    <d v="2026-05-28T00:00:00"/>
    <d v="2026-05-31T00:00:00"/>
    <d v="2026-06-03T00:00:00"/>
    <s v="ONASSIS LEE FEITEIRO"/>
    <x v="3"/>
    <s v="Jacqueline"/>
    <s v="F"/>
    <n v="5511932328607"/>
    <s v="Novo"/>
    <s v="Assinado"/>
    <d v="2026-06-06T00:00:00"/>
    <x v="4"/>
  </r>
  <r>
    <d v="2026-05-28T00:00:00"/>
    <d v="2026-05-31T00:00:00"/>
    <d v="2026-06-03T00:00:00"/>
    <s v="MARCELO RODRIGUES DE OLIVEIRA"/>
    <x v="3"/>
    <s v="John"/>
    <s v="M"/>
    <n v="5516997243951"/>
    <s v="Novo"/>
    <s v="Assinado"/>
    <d v="2026-06-06T00:00:00"/>
    <x v="4"/>
  </r>
  <r>
    <d v="2026-05-28T00:00:00"/>
    <d v="2026-05-31T00:00:00"/>
    <d v="2026-06-03T00:00:00"/>
    <s v="JOSE ROSENILDO DE SOUSA"/>
    <x v="2"/>
    <s v="Enzo"/>
    <s v="M"/>
    <n v="5511984336736"/>
    <s v="Novo"/>
    <s v="Assinado"/>
    <d v="2026-06-06T00:00:00"/>
    <x v="4"/>
  </r>
  <r>
    <d v="2026-05-28T00:00:00"/>
    <d v="2026-05-31T00:00:00"/>
    <d v="2026-06-03T00:00:00"/>
    <s v="ANA REGINA MARQUES MAZZARO"/>
    <x v="0"/>
    <s v="Enzo"/>
    <s v="M"/>
    <n v="5518981713266"/>
    <s v="Novo"/>
    <s v="Assinado"/>
    <d v="2026-06-06T00:00:00"/>
    <x v="4"/>
  </r>
  <r>
    <d v="2026-05-28T00:00:00"/>
    <d v="2026-05-31T00:00:00"/>
    <d v="2026-06-03T00:00:00"/>
    <s v="WILLIAM DE MIRANDA HILLEBRAND"/>
    <x v="0"/>
    <s v="Enzo"/>
    <s v="M"/>
    <n v="5515998062499"/>
    <s v="Novo"/>
    <s v="Envio e-mail"/>
    <d v="2026-06-06T00:00:00"/>
    <x v="4"/>
  </r>
  <r>
    <d v="2026-05-28T00:00:00"/>
    <d v="2026-05-31T00:00:00"/>
    <d v="2026-06-03T00:00:00"/>
    <s v="ANSELMO LUIZ MAIA CHAVES"/>
    <x v="0"/>
    <s v="Enzo"/>
    <s v="M"/>
    <n v="5521996338552"/>
    <s v="Novo"/>
    <s v="Assinado"/>
    <d v="2026-06-06T00:00:00"/>
    <x v="4"/>
  </r>
  <r>
    <d v="2026-05-28T00:00:00"/>
    <d v="2026-05-31T00:00:00"/>
    <d v="2026-06-03T00:00:00"/>
    <s v="MIGUEL PINTO FILHO"/>
    <x v="0"/>
    <s v="Enzo"/>
    <s v="M"/>
    <n v="5531994857754"/>
    <s v="Novo"/>
    <s v="Envio e-mail"/>
    <d v="2026-06-06T00:00:00"/>
    <x v="4"/>
  </r>
  <r>
    <d v="2026-05-28T00:00:00"/>
    <d v="2026-05-31T00:00:00"/>
    <d v="2026-06-03T00:00:00"/>
    <s v="ROMARIO OLIVEIRA DE JESUS"/>
    <x v="2"/>
    <s v="Isabella"/>
    <s v="F"/>
    <n v="5511947308327"/>
    <s v="Novo"/>
    <s v="Erro"/>
    <d v="2026-06-06T00:00:00"/>
    <x v="4"/>
  </r>
  <r>
    <d v="2026-05-28T00:00:00"/>
    <d v="2026-05-31T00:00:00"/>
    <d v="2026-06-03T00:00:00"/>
    <s v="DANILO ALVES BORGES"/>
    <x v="2"/>
    <s v="Isabella"/>
    <s v="F"/>
    <n v="5511970333366"/>
    <s v="Novo"/>
    <s v="Assinado"/>
    <d v="2026-06-06T00:00:00"/>
    <x v="4"/>
  </r>
  <r>
    <d v="2026-05-28T00:00:00"/>
    <d v="2026-05-31T00:00:00"/>
    <d v="2026-06-03T00:00:00"/>
    <s v="SERGIO LUIZ ESPERANCA"/>
    <x v="2"/>
    <s v="Jacqueline"/>
    <s v="F"/>
    <n v="5511993767028"/>
    <s v="Novo"/>
    <s v="Assinado"/>
    <d v="2026-06-06T00:00:00"/>
    <x v="4"/>
  </r>
  <r>
    <d v="2026-05-28T00:00:00"/>
    <d v="2026-05-31T00:00:00"/>
    <d v="2026-06-03T00:00:00"/>
    <s v="EMERSON JOSE DOS REIS"/>
    <x v="0"/>
    <s v="John"/>
    <s v="M"/>
    <n v="5511984286356"/>
    <s v="Novo"/>
    <s v="Cancelado"/>
    <d v="2026-06-06T00:00:00"/>
    <x v="4"/>
  </r>
  <r>
    <d v="2026-05-28T00:00:00"/>
    <d v="2026-05-31T00:00:00"/>
    <d v="2026-06-03T00:00:00"/>
    <s v="WALDIR CREPALDI JUNIOR"/>
    <x v="0"/>
    <s v="John"/>
    <s v="M"/>
    <n v="5511960834216"/>
    <s v="Renovação"/>
    <s v="Assinado"/>
    <d v="2026-06-06T00:00:00"/>
    <x v="4"/>
  </r>
  <r>
    <d v="2026-05-28T00:00:00"/>
    <d v="2026-05-31T00:00:00"/>
    <d v="2026-06-03T00:00:00"/>
    <s v="MILLENE DE SOUZA ROSA DA SILVA"/>
    <x v="3"/>
    <s v="John"/>
    <s v="M"/>
    <n v="5511984954011"/>
    <s v="Novo"/>
    <s v="Assinado"/>
    <d v="2026-06-06T00:00:00"/>
    <x v="4"/>
  </r>
  <r>
    <d v="2026-05-29T00:00:00"/>
    <d v="2026-06-01T00:00:00"/>
    <d v="2026-06-04T00:00:00"/>
    <s v="ANA CAROLINA ALVES ROCHA"/>
    <x v="1"/>
    <s v="Isabella"/>
    <s v="F"/>
    <n v="5511992562083"/>
    <s v="Novo"/>
    <s v="Assinado"/>
    <d v="2026-06-07T00:00:00"/>
    <x v="4"/>
  </r>
  <r>
    <d v="2026-05-29T00:00:00"/>
    <d v="2026-06-01T00:00:00"/>
    <d v="2026-06-04T00:00:00"/>
    <s v="ELIANA BARRETO WINGTER"/>
    <x v="2"/>
    <s v="Leticia"/>
    <s v="F"/>
    <n v="5511979984719"/>
    <s v="Novo"/>
    <s v="Assinado"/>
    <d v="2026-06-07T00:00:00"/>
    <x v="4"/>
  </r>
  <r>
    <d v="2026-05-29T00:00:00"/>
    <d v="2026-06-01T00:00:00"/>
    <d v="2026-06-04T00:00:00"/>
    <s v="LEONARDO SOUZA DA SILVA"/>
    <x v="3"/>
    <s v="Leticia"/>
    <s v="F"/>
    <n v="5511947651506"/>
    <s v="Renovação"/>
    <s v="Na planilha"/>
    <d v="2026-06-07T00:00:00"/>
    <x v="4"/>
  </r>
  <r>
    <d v="2026-05-29T00:00:00"/>
    <d v="2026-06-01T00:00:00"/>
    <d v="2026-06-04T00:00:00"/>
    <s v="JOCIANE DE FARIAS DELMONDES"/>
    <x v="11"/>
    <s v="Jéssica"/>
    <s v="F"/>
    <n v="5567991871076"/>
    <s v="Novo"/>
    <s v="Assinado"/>
    <d v="2026-06-07T00:00:00"/>
    <x v="4"/>
  </r>
  <r>
    <d v="2026-06-01T00:00:00"/>
    <d v="2026-06-04T00:00:00"/>
    <d v="2026-06-07T00:00:00"/>
    <s v="MAGNO MAGALHAES DA SILVA"/>
    <x v="1"/>
    <s v="John"/>
    <s v="M"/>
    <n v="5519987155048"/>
    <s v="Renovação"/>
    <s v="Assinado"/>
    <d v="2026-06-10T00:00:00"/>
    <x v="5"/>
  </r>
  <r>
    <d v="2026-06-01T00:00:00"/>
    <d v="2026-06-04T00:00:00"/>
    <d v="2026-06-07T00:00:00"/>
    <s v="JOSE LUCIVAN OLIVEIRA DE MELO"/>
    <x v="3"/>
    <s v="John"/>
    <s v="M"/>
    <n v="5511954837420"/>
    <s v="Renovação"/>
    <s v="Assinado"/>
    <d v="2026-06-10T00:00:00"/>
    <x v="5"/>
  </r>
  <r>
    <d v="2026-06-01T00:00:00"/>
    <d v="2026-06-04T00:00:00"/>
    <d v="2026-06-07T00:00:00"/>
    <s v="PAULO LOPES DA SILVA JUNIOR"/>
    <x v="0"/>
    <s v="John"/>
    <s v="M"/>
    <n v="5511953441694"/>
    <s v="Novo"/>
    <s v="Assinado"/>
    <d v="2026-06-10T00:00:00"/>
    <x v="5"/>
  </r>
  <r>
    <d v="2026-06-01T00:00:00"/>
    <d v="2026-06-04T00:00:00"/>
    <d v="2026-06-07T00:00:00"/>
    <s v="FRANCISCO ZENILDO ALVES DE SOUSA"/>
    <x v="1"/>
    <s v="Myrelle"/>
    <s v="F"/>
    <n v="5512996127226"/>
    <s v="Novo"/>
    <s v="Assinado"/>
    <d v="2026-06-10T00:00:00"/>
    <x v="5"/>
  </r>
  <r>
    <d v="2026-06-01T00:00:00"/>
    <d v="2026-06-04T00:00:00"/>
    <d v="2026-06-07T00:00:00"/>
    <s v="REINALDO ANTONIO CALHEIRANI"/>
    <x v="0"/>
    <s v="John"/>
    <s v="M"/>
    <n v="5519982144605"/>
    <s v="Novo"/>
    <s v="Na planilha"/>
    <d v="2026-06-17T00:00:00"/>
    <x v="5"/>
  </r>
  <r>
    <d v="2026-06-01T00:00:00"/>
    <d v="2026-06-04T00:00:00"/>
    <d v="2026-06-07T00:00:00"/>
    <s v="GILBERTO DA SILVA CANDIDO"/>
    <x v="3"/>
    <s v="John"/>
    <s v="M"/>
    <n v="5512991719388"/>
    <s v="Novo"/>
    <s v="Assinado"/>
    <d v="2026-06-10T00:00:00"/>
    <x v="5"/>
  </r>
  <r>
    <d v="2026-06-01T00:00:00"/>
    <d v="2026-06-04T00:00:00"/>
    <d v="2026-06-07T00:00:00"/>
    <s v="GILCEIA GIL DE SOUZA SILVA"/>
    <x v="0"/>
    <s v="Leticia"/>
    <s v="F"/>
    <n v="5511966061864"/>
    <s v="Novo"/>
    <s v="Assinado(manual)"/>
    <d v="2026-06-10T00:00:00"/>
    <x v="5"/>
  </r>
  <r>
    <d v="2026-06-02T00:00:00"/>
    <d v="2026-06-05T00:00:00"/>
    <d v="2026-06-08T00:00:00"/>
    <s v="SERGIO LUIZ ESPERANCA"/>
    <x v="2"/>
    <s v="Jacqueline"/>
    <s v="F"/>
    <n v="5511993767028"/>
    <s v="Novo"/>
    <s v="Assinado"/>
    <d v="2026-06-11T00:00:00"/>
    <x v="5"/>
  </r>
  <r>
    <d v="2026-06-02T00:00:00"/>
    <d v="2026-06-05T00:00:00"/>
    <d v="2026-06-08T00:00:00"/>
    <s v="JULIANA DE SOUZA NASCIMENTO"/>
    <x v="1"/>
    <s v="Myrelle"/>
    <s v="F"/>
    <n v="5511958903120"/>
    <s v="Novo"/>
    <s v="Assinado"/>
    <d v="2026-06-11T00:00:00"/>
    <x v="5"/>
  </r>
  <r>
    <d v="2026-06-03T00:00:00"/>
    <d v="2026-06-06T00:00:00"/>
    <d v="2026-06-09T00:00:00"/>
    <s v="ADRIEL FRANCISCO SANTOS DA SILVA"/>
    <x v="0"/>
    <s v="John"/>
    <s v="M"/>
    <n v="5511983000499"/>
    <s v="Novo"/>
    <s v="Assinado"/>
    <d v="2026-06-12T00:00:00"/>
    <x v="5"/>
  </r>
  <r>
    <d v="2026-06-02T00:00:00"/>
    <d v="2026-06-05T00:00:00"/>
    <d v="2026-06-08T00:00:00"/>
    <s v="GADIEL RIBEIRO SOARES"/>
    <x v="1"/>
    <s v="Isabella"/>
    <s v="F"/>
    <n v="5516974057979"/>
    <s v="Novo"/>
    <s v="Assinado"/>
    <d v="2026-06-11T00:00:00"/>
    <x v="5"/>
  </r>
  <r>
    <d v="2026-06-02T00:00:00"/>
    <d v="2026-06-05T00:00:00"/>
    <d v="2026-06-08T00:00:00"/>
    <s v="NADI GUEDES IANELLI LEITE"/>
    <x v="1"/>
    <s v="Jéssica"/>
    <s v="F"/>
    <n v="5511980662443"/>
    <s v="Novo"/>
    <s v="Assinado"/>
    <d v="2026-06-11T00:00:00"/>
    <x v="5"/>
  </r>
  <r>
    <d v="2026-06-02T00:00:00"/>
    <d v="2026-06-05T00:00:00"/>
    <d v="2026-06-08T00:00:00"/>
    <s v="VITOR HUGO DE ABREU LAURIANO PINHEIRO"/>
    <x v="1"/>
    <s v="John"/>
    <s v="M"/>
    <n v="5511958127803"/>
    <s v="Renovação"/>
    <s v="Assinado"/>
    <d v="2026-06-11T00:00:00"/>
    <x v="5"/>
  </r>
  <r>
    <d v="2026-06-02T00:00:00"/>
    <d v="2026-06-05T00:00:00"/>
    <d v="2026-06-08T00:00:00"/>
    <s v="NIVALDO VITURINO DOS SANTOS"/>
    <x v="1"/>
    <s v="Myrelle"/>
    <s v="F"/>
    <n v="5511958903120"/>
    <s v="Novo"/>
    <s v="Assinado"/>
    <d v="2026-06-11T00:00:00"/>
    <x v="5"/>
  </r>
  <r>
    <d v="2026-06-02T00:00:00"/>
    <d v="2026-06-05T00:00:00"/>
    <d v="2026-06-08T00:00:00"/>
    <s v="ARIEL SOARES FERREIRA VILA REAL"/>
    <x v="2"/>
    <s v="John"/>
    <s v="M"/>
    <n v="5591985333648"/>
    <s v="Novo"/>
    <s v="Assinado"/>
    <d v="2026-06-11T00:00:00"/>
    <x v="5"/>
  </r>
  <r>
    <d v="2026-06-02T00:00:00"/>
    <d v="2026-06-05T00:00:00"/>
    <d v="2026-06-08T00:00:00"/>
    <s v="THAIS CRISTINA PEREIRA DOS SANTOS SILVA"/>
    <x v="0"/>
    <s v="Leticia"/>
    <s v="F"/>
    <n v="5511948352948"/>
    <s v="Novo"/>
    <s v="Assinado"/>
    <d v="2026-06-11T00:00:00"/>
    <x v="5"/>
  </r>
  <r>
    <d v="2026-06-03T00:00:00"/>
    <d v="2026-06-06T00:00:00"/>
    <d v="2026-06-09T00:00:00"/>
    <s v="HELIO JUSTINO DA SILVA"/>
    <x v="0"/>
    <s v="Isabella"/>
    <s v="F"/>
    <n v="5511945013531"/>
    <s v="Novo"/>
    <s v="Assinado"/>
    <d v="2026-06-12T00:00:00"/>
    <x v="5"/>
  </r>
  <r>
    <d v="2026-06-03T00:00:00"/>
    <d v="2026-06-06T00:00:00"/>
    <d v="2026-06-09T00:00:00"/>
    <s v="REINAN SILVA BRITO"/>
    <x v="1"/>
    <s v="Isabella"/>
    <s v="F"/>
    <n v="5511994069830"/>
    <s v="Renovação"/>
    <s v="Assinado"/>
    <d v="2026-06-12T00:00:00"/>
    <x v="5"/>
  </r>
  <r>
    <d v="2026-06-03T00:00:00"/>
    <d v="2026-06-06T00:00:00"/>
    <d v="2026-06-09T00:00:00"/>
    <s v="DUARTE JOSE DA SILVA"/>
    <x v="4"/>
    <s v="Leticia"/>
    <s v="F"/>
    <n v="5511962646955"/>
    <s v="Novo"/>
    <s v="Assinado"/>
    <d v="2026-06-12T00:00:00"/>
    <x v="5"/>
  </r>
  <r>
    <d v="2026-06-03T00:00:00"/>
    <d v="2026-06-06T00:00:00"/>
    <d v="2026-06-09T00:00:00"/>
    <s v="FLORISVALDO SANTOS NEPOMUCENO"/>
    <x v="3"/>
    <s v="Leticia"/>
    <s v="F"/>
    <n v="5515998150211"/>
    <s v="Novo"/>
    <s v="Assinado"/>
    <d v="2026-06-12T00:00:00"/>
    <x v="5"/>
  </r>
  <r>
    <d v="2026-06-03T00:00:00"/>
    <d v="2026-06-06T00:00:00"/>
    <d v="2026-06-09T00:00:00"/>
    <s v="FABRICIO DANTAS FELIX"/>
    <x v="1"/>
    <s v="Leticia"/>
    <s v="F"/>
    <n v="5511958917636"/>
    <s v="Novo"/>
    <s v="Assinado"/>
    <d v="2026-06-12T00:00:00"/>
    <x v="5"/>
  </r>
  <r>
    <d v="2026-06-03T00:00:00"/>
    <d v="2026-06-06T00:00:00"/>
    <d v="2026-06-09T00:00:00"/>
    <s v="KAIQUE FERNANDES COSTA DOS SANTOS"/>
    <x v="0"/>
    <s v="John"/>
    <s v="M"/>
    <n v="5511976649377"/>
    <s v="Novo"/>
    <s v="Assinado(manual)"/>
    <d v="2026-06-12T00:00:00"/>
    <x v="5"/>
  </r>
  <r>
    <d v="2026-06-03T00:00:00"/>
    <d v="2026-06-06T00:00:00"/>
    <d v="2026-06-09T00:00:00"/>
    <s v="MARCOS RIBEIRO SUPPI"/>
    <x v="3"/>
    <s v="John"/>
    <s v="M"/>
    <n v="5512981828361"/>
    <s v="Novo"/>
    <s v="Assinado"/>
    <d v="2026-06-12T00:00:00"/>
    <x v="5"/>
  </r>
  <r>
    <d v="2026-06-03T00:00:00"/>
    <d v="2026-06-06T00:00:00"/>
    <d v="2026-06-09T00:00:00"/>
    <s v="MIGUEL RABELO DA SILVA"/>
    <x v="1"/>
    <s v="John"/>
    <s v="M"/>
    <n v="5511984695880"/>
    <s v="Novo"/>
    <s v="Assinado"/>
    <d v="2026-06-12T00:00:00"/>
    <x v="5"/>
  </r>
  <r>
    <d v="2026-06-03T00:00:00"/>
    <d v="2026-06-06T00:00:00"/>
    <d v="2026-06-09T00:00:00"/>
    <s v="FELIPE EDUARDO LEITE DA SILVA"/>
    <x v="1"/>
    <s v="John"/>
    <s v="M"/>
    <n v="5511957808580"/>
    <s v="Novo"/>
    <s v="Assinado"/>
    <d v="2026-06-12T00:00:00"/>
    <x v="5"/>
  </r>
  <r>
    <d v="2026-06-05T00:00:00"/>
    <d v="2026-06-08T00:00:00"/>
    <d v="2026-06-11T00:00:00"/>
    <s v="EDSON LOPES DE CARVALHO JUNIOR"/>
    <x v="0"/>
    <s v="Jacqueline"/>
    <s v="F"/>
    <n v="5511949464754"/>
    <s v="Novo"/>
    <s v="Assinado"/>
    <d v="2026-06-14T00:00:00"/>
    <x v="5"/>
  </r>
  <r>
    <d v="2026-06-05T00:00:00"/>
    <d v="2026-06-08T00:00:00"/>
    <d v="2026-06-11T00:00:00"/>
    <s v="PATRICIA AKANE TAKIMOTO"/>
    <x v="2"/>
    <s v="Flaviane"/>
    <s v="F"/>
    <n v="5511983346380"/>
    <s v="Novo"/>
    <s v="Assinado"/>
    <d v="2026-06-14T00:00:00"/>
    <x v="5"/>
  </r>
  <r>
    <d v="2026-06-05T00:00:00"/>
    <d v="2026-06-08T00:00:00"/>
    <d v="2026-06-11T00:00:00"/>
    <s v="WAGNER ALEXANDRE DOS SANTOS"/>
    <x v="2"/>
    <s v="Myrelle"/>
    <s v="F"/>
    <n v="5511940163907"/>
    <s v="Novo"/>
    <s v="Assinado"/>
    <d v="2026-06-14T00:00:00"/>
    <x v="5"/>
  </r>
  <r>
    <d v="2026-06-05T00:00:00"/>
    <d v="2026-06-08T00:00:00"/>
    <d v="2026-06-11T00:00:00"/>
    <s v="HENRIQUE CHAVES DA SILVA"/>
    <x v="0"/>
    <s v="Isabella"/>
    <s v="F"/>
    <n v="5511948821308"/>
    <s v="Novo"/>
    <s v="Assinado"/>
    <d v="2026-06-14T00:00:00"/>
    <x v="5"/>
  </r>
  <r>
    <d v="2026-06-08T00:00:00"/>
    <d v="2026-06-11T00:00:00"/>
    <d v="2026-06-14T00:00:00"/>
    <s v="JOSE ANTONIO ALVES"/>
    <x v="2"/>
    <s v="John"/>
    <s v="M"/>
    <n v="5511947805691"/>
    <s v="Renovação"/>
    <s v="Assinado"/>
    <d v="2026-06-17T00:00:00"/>
    <x v="5"/>
  </r>
  <r>
    <d v="2026-06-05T00:00:00"/>
    <d v="2026-06-08T00:00:00"/>
    <d v="2026-06-11T00:00:00"/>
    <s v="WILLIAM CARLOS CATULE"/>
    <x v="0"/>
    <s v="John"/>
    <s v="M"/>
    <n v="5511987120389"/>
    <s v="Novo"/>
    <s v="Assinado"/>
    <d v="2026-06-14T00:00:00"/>
    <x v="5"/>
  </r>
  <r>
    <d v="2026-06-08T00:00:00"/>
    <d v="2026-06-11T00:00:00"/>
    <d v="2026-06-14T00:00:00"/>
    <s v="ROBERIO FERREIRA DE ANDRADE "/>
    <x v="2"/>
    <s v="Jacqueline"/>
    <s v="F"/>
    <n v="5575999881021"/>
    <s v="Novo"/>
    <s v="Assinado"/>
    <d v="2026-06-17T00:00:00"/>
    <x v="5"/>
  </r>
  <r>
    <d v="2026-06-08T00:00:00"/>
    <d v="2026-06-11T00:00:00"/>
    <d v="2026-06-14T00:00:00"/>
    <s v="VALDEMIR RODRIGUES BISPO"/>
    <x v="0"/>
    <s v="Jacqueline"/>
    <s v="F"/>
    <n v="5518981291342"/>
    <s v="Novo"/>
    <s v="Assinado"/>
    <d v="2026-06-17T00:00:00"/>
    <x v="5"/>
  </r>
  <r>
    <d v="2026-06-08T00:00:00"/>
    <d v="2026-06-11T00:00:00"/>
    <d v="2026-06-14T00:00:00"/>
    <s v="SIDNEY AMARAL"/>
    <x v="0"/>
    <s v="Jacqueline"/>
    <s v="F"/>
    <n v="5531982363009"/>
    <s v="Novo"/>
    <s v="Assinado"/>
    <d v="2026-06-17T00:00:00"/>
    <x v="5"/>
  </r>
  <r>
    <d v="2026-06-08T00:00:00"/>
    <d v="2026-06-11T00:00:00"/>
    <d v="2026-06-14T00:00:00"/>
    <s v="JOSE ONIAS SOUZA DE OLIVEIRA"/>
    <x v="0"/>
    <s v="Jacqueline"/>
    <s v="F"/>
    <n v="5521993194454"/>
    <s v="Novo"/>
    <s v="Assinado"/>
    <d v="2026-06-17T00:00:00"/>
    <x v="5"/>
  </r>
  <r>
    <d v="2026-06-08T00:00:00"/>
    <d v="2026-06-11T00:00:00"/>
    <d v="2026-06-14T00:00:00"/>
    <s v="JULIO CESAR BOSSO SIANO"/>
    <x v="0"/>
    <s v="Leticia"/>
    <s v="F"/>
    <n v="5511984449906"/>
    <s v="Novo"/>
    <s v="Na planilha"/>
    <d v="2026-06-17T00:00:00"/>
    <x v="5"/>
  </r>
  <r>
    <d v="2026-06-08T00:00:00"/>
    <d v="2026-06-11T00:00:00"/>
    <d v="2026-06-14T00:00:00"/>
    <s v="ERIVALDO PERGENTINO ALVES"/>
    <x v="1"/>
    <s v="Leticia"/>
    <s v="F"/>
    <n v="5511997367623"/>
    <s v="Novo"/>
    <s v="Assinado"/>
    <d v="2026-06-17T00:00:00"/>
    <x v="5"/>
  </r>
  <r>
    <d v="2026-06-08T00:00:00"/>
    <d v="2026-06-11T00:00:00"/>
    <d v="2026-06-14T00:00:00"/>
    <s v="FLAVIO GHETTI RIBEIRO"/>
    <x v="0"/>
    <s v="John"/>
    <s v="M"/>
    <n v="5511963637062"/>
    <s v="Novo"/>
    <s v="Assinado"/>
    <d v="2026-06-17T00:00:00"/>
    <x v="5"/>
  </r>
  <r>
    <d v="2026-06-08T00:00:00"/>
    <d v="2026-06-11T00:00:00"/>
    <d v="2026-06-14T00:00:00"/>
    <s v="ERIK HENRIQUE FIRME GOLLO"/>
    <x v="1"/>
    <s v="Leticia"/>
    <s v="F"/>
    <n v="5511983147982"/>
    <s v="Novo"/>
    <s v="Assinado"/>
    <d v="2026-06-17T00:00:00"/>
    <x v="5"/>
  </r>
  <r>
    <d v="2026-06-08T00:00:00"/>
    <d v="2026-06-11T00:00:00"/>
    <d v="2026-06-14T00:00:00"/>
    <s v="MARISA GOMES DE MORAIS"/>
    <x v="0"/>
    <s v="Isabella"/>
    <s v="F"/>
    <n v="5511999499749"/>
    <s v="Novo"/>
    <s v="Assinado"/>
    <d v="2026-06-17T00:00:00"/>
    <x v="5"/>
  </r>
  <r>
    <d v="2026-06-08T00:00:00"/>
    <d v="2026-06-11T00:00:00"/>
    <d v="2026-06-14T00:00:00"/>
    <s v="DANIEL FRANCELINO DA SILVA"/>
    <x v="4"/>
    <s v="John"/>
    <s v="M"/>
    <n v="5581985781224"/>
    <s v="Novo"/>
    <s v="Assinado"/>
    <d v="2026-06-17T00:00:00"/>
    <x v="5"/>
  </r>
  <r>
    <d v="2026-06-08T00:00:00"/>
    <d v="2026-06-11T00:00:00"/>
    <d v="2026-06-14T00:00:00"/>
    <s v="BENEDITO JACINTHO"/>
    <x v="1"/>
    <s v="John"/>
    <s v="M"/>
    <n v="5511959940533"/>
    <s v="Novo"/>
    <s v="Assinado"/>
    <d v="2026-06-17T00:00:00"/>
    <x v="5"/>
  </r>
  <r>
    <d v="2026-06-09T00:00:00"/>
    <d v="2026-06-12T00:00:00"/>
    <d v="2026-06-15T00:00:00"/>
    <s v="RENATO DE SANTANA COSTA"/>
    <x v="1"/>
    <s v="John"/>
    <s v="M"/>
    <n v="5511979631628"/>
    <s v="Novo"/>
    <s v="Na planilha"/>
    <d v="2026-06-18T00:00:00"/>
    <x v="5"/>
  </r>
  <r>
    <d v="2026-06-09T00:00:00"/>
    <d v="2026-06-12T00:00:00"/>
    <d v="2026-06-15T00:00:00"/>
    <s v="CARLOS ALBERTO DOS SANTOS"/>
    <x v="0"/>
    <s v="John"/>
    <s v="M"/>
    <n v="5511972259203"/>
    <s v="Renovação"/>
    <s v="Erro"/>
    <d v="2026-06-18T00:00:00"/>
    <x v="5"/>
  </r>
  <r>
    <d v="2026-06-09T00:00:00"/>
    <d v="2026-06-12T00:00:00"/>
    <d v="2026-06-15T00:00:00"/>
    <s v="JOEL FRANCISCO GIOVANELLI GARCIA MARTINS"/>
    <x v="0"/>
    <s v="John"/>
    <s v="M"/>
    <n v="5512991169572"/>
    <s v="Renovação"/>
    <s v="Assinado"/>
    <d v="2026-06-18T00:00:00"/>
    <x v="5"/>
  </r>
  <r>
    <d v="2026-06-09T00:00:00"/>
    <d v="2026-06-12T00:00:00"/>
    <d v="2026-06-15T00:00:00"/>
    <s v="AGNALDO MARINHO DA SILVA NETO"/>
    <x v="3"/>
    <s v="John"/>
    <s v="M"/>
    <n v="5571981502073"/>
    <s v="Renovação"/>
    <s v="Assinado"/>
    <d v="2026-06-18T00:00:00"/>
    <x v="5"/>
  </r>
  <r>
    <d v="2026-06-09T00:00:00"/>
    <d v="2026-06-12T00:00:00"/>
    <d v="2026-06-15T00:00:00"/>
    <s v="JAILSON RAMOS DE DEUS"/>
    <x v="1"/>
    <s v="John"/>
    <s v="M"/>
    <n v="5511940137253"/>
    <s v="Novo"/>
    <s v="Assinado"/>
    <d v="2026-06-18T00:00:00"/>
    <x v="5"/>
  </r>
  <r>
    <d v="2026-06-09T00:00:00"/>
    <d v="2026-06-12T00:00:00"/>
    <d v="2026-06-15T00:00:00"/>
    <s v="THALITA MESQUIARI DOS SANTOS"/>
    <x v="2"/>
    <s v="John"/>
    <s v="M"/>
    <n v="5511946752455"/>
    <s v="Renovação"/>
    <s v="Erro"/>
    <d v="2026-06-18T00:00:00"/>
    <x v="5"/>
  </r>
  <r>
    <d v="2026-06-09T00:00:00"/>
    <d v="2026-06-12T00:00:00"/>
    <d v="2026-06-15T00:00:00"/>
    <s v="PAULO DE OLIVEIRA"/>
    <x v="1"/>
    <s v="John"/>
    <s v="M"/>
    <n v="5514997113256"/>
    <s v="Renovação"/>
    <s v="Assinado(manual)"/>
    <d v="2026-06-18T00:00:00"/>
    <x v="5"/>
  </r>
  <r>
    <d v="2026-06-09T00:00:00"/>
    <d v="2026-06-12T00:00:00"/>
    <d v="2026-06-15T00:00:00"/>
    <s v="LUCIMAR ANTONIA ROSA"/>
    <x v="5"/>
    <s v="John"/>
    <s v="M"/>
    <n v="5511987171007"/>
    <s v="Renovação"/>
    <s v="Na planilha"/>
    <d v="2026-06-18T00:00:00"/>
    <x v="5"/>
  </r>
  <r>
    <d v="2026-06-09T00:00:00"/>
    <d v="2026-06-12T00:00:00"/>
    <d v="2026-06-15T00:00:00"/>
    <s v="MATHEUS REIS SANTANA"/>
    <x v="2"/>
    <s v="John"/>
    <s v="M"/>
    <n v="5511930044446"/>
    <s v="Renovação"/>
    <s v="Na planilha"/>
    <d v="2026-06-18T00:00:00"/>
    <x v="5"/>
  </r>
  <r>
    <d v="2026-06-09T00:00:00"/>
    <d v="2026-06-12T00:00:00"/>
    <d v="2026-06-15T00:00:00"/>
    <s v="MARCOS VINICIUS AFONSO CABRAL"/>
    <x v="4"/>
    <s v="Isabella"/>
    <s v="F"/>
    <n v="5591993789064"/>
    <s v="Novo"/>
    <s v="Assinado"/>
    <d v="2026-06-18T00:00:00"/>
    <x v="5"/>
  </r>
  <r>
    <d v="2026-06-09T00:00:00"/>
    <d v="2026-06-12T00:00:00"/>
    <d v="2026-06-15T00:00:00"/>
    <s v="ANDERSON CLEITON ANDRADE DA SILVA"/>
    <x v="1"/>
    <s v="Isabella"/>
    <s v="F"/>
    <n v="5511963465506"/>
    <s v="Novo"/>
    <s v="Assinado"/>
    <d v="2026-06-18T00:00:00"/>
    <x v="5"/>
  </r>
  <r>
    <d v="2026-06-09T00:00:00"/>
    <d v="2026-06-12T00:00:00"/>
    <d v="2026-06-15T00:00:00"/>
    <s v="ROBSON MARINHO MODESTO LIMA"/>
    <x v="0"/>
    <s v="Isabella"/>
    <s v="F"/>
    <n v="5512991512644"/>
    <s v="Novo"/>
    <s v="Assinado"/>
    <d v="2026-06-18T00:00:00"/>
    <x v="5"/>
  </r>
  <r>
    <d v="2026-06-09T00:00:00"/>
    <d v="2026-06-12T00:00:00"/>
    <d v="2026-06-15T00:00:00"/>
    <s v="SIMONE MATEUS ANACLETO"/>
    <x v="0"/>
    <s v="Isabella"/>
    <s v="F"/>
    <n v="5511987127971"/>
    <s v="Novo"/>
    <s v="Assinado"/>
    <d v="2026-06-18T00:00:00"/>
    <x v="5"/>
  </r>
  <r>
    <d v="2026-06-09T00:00:00"/>
    <d v="2026-06-12T00:00:00"/>
    <d v="2026-06-15T00:00:00"/>
    <s v="ALAERCIO TEIXEIRA DOS SANTOS"/>
    <x v="1"/>
    <s v="Jacqueline"/>
    <s v="F"/>
    <n v="5515996990111"/>
    <s v="Novo"/>
    <s v="Assinado"/>
    <d v="2026-06-18T00:00:00"/>
    <x v="5"/>
  </r>
  <r>
    <d v="2026-06-09T00:00:00"/>
    <d v="2026-06-12T00:00:00"/>
    <d v="2026-06-15T00:00:00"/>
    <s v="ROSIANI APARECIDA RIBEIRO DE AGUIAR"/>
    <x v="0"/>
    <s v="Leticia"/>
    <s v="F"/>
    <n v="5512997440674"/>
    <s v="Novo"/>
    <s v="Assinado"/>
    <d v="2026-06-18T00:00:00"/>
    <x v="5"/>
  </r>
  <r>
    <d v="2026-06-09T00:00:00"/>
    <d v="2026-06-12T00:00:00"/>
    <d v="2026-06-15T00:00:00"/>
    <s v="UELLINGTON MACEDO RAMOS"/>
    <x v="1"/>
    <s v="Leticia"/>
    <s v="F"/>
    <n v="5511977234853"/>
    <s v="Novo"/>
    <s v="Na planilha"/>
    <d v="2026-06-18T00:00:00"/>
    <x v="5"/>
  </r>
  <r>
    <d v="2026-06-09T00:00:00"/>
    <d v="2026-06-12T00:00:00"/>
    <d v="2026-06-15T00:00:00"/>
    <s v="ANTONIO CESAR DA CUNHA BARROS"/>
    <x v="1"/>
    <s v="Jéssica"/>
    <s v="F"/>
    <n v="5511954588347"/>
    <s v="Novo"/>
    <s v="Assinado(manual)"/>
    <d v="2026-06-18T00:00:00"/>
    <x v="5"/>
  </r>
  <r>
    <d v="2026-06-09T00:00:00"/>
    <d v="2026-06-12T00:00:00"/>
    <d v="2026-06-15T00:00:00"/>
    <s v="NATAEL MINUCCI GONCALVES"/>
    <x v="2"/>
    <s v="Myrelle"/>
    <s v="F"/>
    <n v="5511989652455"/>
    <s v="Novo"/>
    <s v="Assinado"/>
    <d v="2026-06-18T00:00:00"/>
    <x v="5"/>
  </r>
  <r>
    <d v="2026-06-09T00:00:00"/>
    <d v="2026-06-12T00:00:00"/>
    <d v="2026-06-15T00:00:00"/>
    <s v="BERNONDES COSTA DA CRUZ"/>
    <x v="0"/>
    <s v="Myrelle"/>
    <s v="F"/>
    <n v="5564992446264"/>
    <s v="Novo"/>
    <s v="Assinado"/>
    <d v="2026-06-18T00:00:00"/>
    <x v="5"/>
  </r>
  <r>
    <d v="2026-06-09T00:00:00"/>
    <d v="2026-06-12T00:00:00"/>
    <d v="2026-06-15T00:00:00"/>
    <s v="PAMELA CRISTINA INACIO"/>
    <x v="2"/>
    <s v="John"/>
    <s v="M"/>
    <n v="5511983557357"/>
    <s v="Renovação"/>
    <s v="Assinado"/>
    <d v="2026-06-18T00:00:00"/>
    <x v="5"/>
  </r>
  <r>
    <d v="2026-06-09T00:00:00"/>
    <d v="2026-06-12T00:00:00"/>
    <d v="2026-06-15T00:00:00"/>
    <s v="CARLOS ALBERTO DOS SANTOS JUNIOR"/>
    <x v="0"/>
    <s v="John"/>
    <s v="M"/>
    <n v="5511971151456"/>
    <s v="Renovação"/>
    <s v="Erro"/>
    <d v="2026-06-18T00:00:00"/>
    <x v="5"/>
  </r>
  <r>
    <d v="2026-06-09T00:00:00"/>
    <d v="2026-06-12T00:00:00"/>
    <d v="2026-06-15T00:00:00"/>
    <s v="LUIZ CARLOS BERTIN"/>
    <x v="0"/>
    <s v="Jacqueline"/>
    <s v="F"/>
    <n v="5543998220143"/>
    <s v="Novo"/>
    <s v="Assinado"/>
    <d v="2026-06-18T00:00:00"/>
    <x v="5"/>
  </r>
  <r>
    <d v="2026-06-10T00:00:00"/>
    <d v="2026-06-13T00:00:00"/>
    <d v="2026-06-16T00:00:00"/>
    <s v="VANESSA GONCALVES DOMINGUES"/>
    <x v="2"/>
    <s v="Leticia"/>
    <s v="F"/>
    <n v="5511937337652"/>
    <s v="Novo"/>
    <s v="Assinado"/>
    <d v="2026-06-19T00:00:00"/>
    <x v="5"/>
  </r>
  <r>
    <d v="2026-06-10T00:00:00"/>
    <d v="2026-06-13T00:00:00"/>
    <d v="2026-06-16T00:00:00"/>
    <s v="ROBERTO BENTO BLEINAT"/>
    <x v="0"/>
    <s v="Isabella"/>
    <s v="F"/>
    <n v="5511992007595"/>
    <s v="Novo"/>
    <s v="Assinado"/>
    <d v="2026-06-19T00:00:00"/>
    <x v="5"/>
  </r>
  <r>
    <d v="2026-06-10T00:00:00"/>
    <d v="2026-06-13T00:00:00"/>
    <d v="2026-06-16T00:00:00"/>
    <s v="RICARDO REIS FRANKLIN"/>
    <x v="2"/>
    <s v="Isabella"/>
    <s v="F"/>
    <n v="5511987525949"/>
    <s v="Novo"/>
    <s v="Assinado"/>
    <d v="2026-06-19T00:00:00"/>
    <x v="5"/>
  </r>
  <r>
    <d v="2026-06-02T00:00:00"/>
    <d v="2026-06-05T00:00:00"/>
    <d v="2026-06-08T00:00:00"/>
    <s v="NADI GUEDES IANELLI LEITE"/>
    <x v="1"/>
    <s v="Jéssica"/>
    <s v="F"/>
    <n v="5511980662443"/>
    <s v="Novo"/>
    <s v="Assinado"/>
    <d v="2026-06-19T00:00:00"/>
    <x v="5"/>
  </r>
  <r>
    <d v="2026-06-10T00:00:00"/>
    <d v="2026-06-13T00:00:00"/>
    <d v="2026-06-16T00:00:00"/>
    <s v="BENEDITO SEVERIANO DA ROSA"/>
    <x v="0"/>
    <s v="Leticia"/>
    <s v="F"/>
    <n v="5511942248211"/>
    <s v="Novo"/>
    <s v="Assinado"/>
    <d v="2026-06-19T00:00:00"/>
    <x v="5"/>
  </r>
  <r>
    <d v="2026-06-10T00:00:00"/>
    <d v="2026-06-13T00:00:00"/>
    <d v="2026-06-16T00:00:00"/>
    <s v="RODRIGO DOS SANTOS VAZ"/>
    <x v="4"/>
    <s v="Leticia"/>
    <s v="F"/>
    <n v="5514997011781"/>
    <s v="Novo"/>
    <s v="Assinado"/>
    <d v="2026-06-19T00:00:00"/>
    <x v="5"/>
  </r>
  <r>
    <d v="2026-06-10T00:00:00"/>
    <d v="2026-06-13T00:00:00"/>
    <d v="2026-06-16T00:00:00"/>
    <s v="ABRAHAO RAIMUNDO DA SILVA"/>
    <x v="2"/>
    <s v="Leticia"/>
    <s v="F"/>
    <n v="5511949712417"/>
    <s v="Novo"/>
    <s v="Assinado"/>
    <d v="2026-06-19T00:00:00"/>
    <x v="5"/>
  </r>
  <r>
    <d v="2026-06-11T00:00:00"/>
    <d v="2026-06-14T00:00:00"/>
    <d v="2026-06-17T00:00:00"/>
    <s v="BENEDITO RICARDO DA SILVA"/>
    <x v="0"/>
    <s v="Jacqueline"/>
    <s v="F"/>
    <n v="5512996843279"/>
    <s v="Novo"/>
    <s v="Na planilha"/>
    <d v="2026-06-20T00:00:00"/>
    <x v="5"/>
  </r>
  <r>
    <d v="2026-06-11T00:00:00"/>
    <d v="2026-06-14T00:00:00"/>
    <d v="2026-06-17T00:00:00"/>
    <s v="HUGO DE SOUSA BRITO"/>
    <x v="9"/>
    <s v="Jacqueline"/>
    <s v="F"/>
    <n v="5511967815915"/>
    <s v="Novo"/>
    <s v="Cancelado"/>
    <d v="2026-06-20T00:00:00"/>
    <x v="5"/>
  </r>
  <r>
    <d v="2026-06-11T00:00:00"/>
    <d v="2026-06-14T00:00:00"/>
    <d v="2026-06-17T00:00:00"/>
    <s v="ADSON OLIVEIRA DESSA"/>
    <x v="0"/>
    <s v="Jacqueline"/>
    <s v="F"/>
    <n v="5511950827013"/>
    <s v="Novo"/>
    <s v="Assinado"/>
    <d v="2026-06-20T00:00:00"/>
    <x v="5"/>
  </r>
  <r>
    <d v="2026-06-11T00:00:00"/>
    <d v="2026-06-14T00:00:00"/>
    <d v="2026-06-17T00:00:00"/>
    <s v="PATRICIA MARQUES SOARES"/>
    <x v="7"/>
    <s v="Jéssica"/>
    <s v="F"/>
    <n v="5561984624036"/>
    <s v="Novo"/>
    <s v="Cancelado"/>
    <d v="2026-06-20T00:00:00"/>
    <x v="5"/>
  </r>
  <r>
    <d v="2026-06-11T00:00:00"/>
    <d v="2026-06-14T00:00:00"/>
    <d v="2026-06-17T00:00:00"/>
    <s v="FABIANO DE QUEIROZ"/>
    <x v="0"/>
    <s v="John"/>
    <s v="M"/>
    <n v="5515998399928"/>
    <s v="Renovação"/>
    <s v="Assinado"/>
    <d v="2026-06-20T00:00:00"/>
    <x v="5"/>
  </r>
  <r>
    <d v="2026-06-11T00:00:00"/>
    <d v="2026-06-14T00:00:00"/>
    <d v="2026-06-17T00:00:00"/>
    <s v="LUIZ CARLOS TORRIS"/>
    <x v="1"/>
    <s v="John"/>
    <s v="M"/>
    <n v="555981883532"/>
    <s v="Novo"/>
    <s v="Na planilha"/>
    <d v="2026-06-20T00:00:00"/>
    <x v="5"/>
  </r>
  <r>
    <d v="2026-06-11T00:00:00"/>
    <d v="2026-06-14T00:00:00"/>
    <d v="2026-06-17T00:00:00"/>
    <s v="VAGNER WILLIAM DE PAULA"/>
    <x v="3"/>
    <s v="John"/>
    <s v="M"/>
    <n v="5511992347823"/>
    <s v="Renovação"/>
    <s v="Assinado"/>
    <d v="2026-06-20T00:00:00"/>
    <x v="5"/>
  </r>
  <r>
    <d v="2026-06-11T00:00:00"/>
    <d v="2026-06-14T00:00:00"/>
    <d v="2026-06-17T00:00:00"/>
    <s v="FILIPE GREGORIO BERTOLINI CORREA"/>
    <x v="3"/>
    <s v="Jacqueline"/>
    <s v="F"/>
    <n v="5531975202120"/>
    <s v="Novo"/>
    <s v="Assinado"/>
    <d v="2026-06-20T00:00:00"/>
    <x v="5"/>
  </r>
  <r>
    <d v="2026-06-12T00:00:00"/>
    <d v="2026-06-15T00:00:00"/>
    <d v="2026-06-18T00:00:00"/>
    <s v="MARTA CRISTINA NUNES DA SILVA"/>
    <x v="1"/>
    <s v="Isabella"/>
    <s v="F"/>
    <n v="5519987140091"/>
    <s v="Renovação"/>
    <s v="Erro"/>
    <d v="2026-06-21T00:00:00"/>
    <x v="5"/>
  </r>
  <r>
    <d v="2026-06-12T00:00:00"/>
    <d v="2026-06-15T00:00:00"/>
    <d v="2026-06-18T00:00:00"/>
    <s v="GILDEIR RIBEIRO DA SILVA"/>
    <x v="2"/>
    <s v="Isabella"/>
    <s v="F"/>
    <n v="5519998015730"/>
    <s v="Novo"/>
    <s v="Assinado"/>
    <d v="2026-06-21T00:00:00"/>
    <x v="5"/>
  </r>
  <r>
    <d v="2026-06-12T00:00:00"/>
    <d v="2026-06-15T00:00:00"/>
    <d v="2026-06-18T00:00:00"/>
    <s v="IVANILDO COSTA DOS SANTOS"/>
    <x v="2"/>
    <s v="Isabella"/>
    <s v="F"/>
    <n v="5577999493350"/>
    <s v="Novo"/>
    <s v="Assinado"/>
    <d v="2026-06-21T00:00:00"/>
    <x v="5"/>
  </r>
  <r>
    <d v="2026-06-12T00:00:00"/>
    <d v="2026-06-15T00:00:00"/>
    <d v="2026-06-18T00:00:00"/>
    <s v="MANOEL JOAO DIAS"/>
    <x v="1"/>
    <s v="John"/>
    <s v="M"/>
    <n v="5511981403892"/>
    <s v="Renovação"/>
    <s v="Na planilha"/>
    <d v="2026-06-21T00:00:00"/>
    <x v="5"/>
  </r>
  <r>
    <d v="2026-06-12T00:00:00"/>
    <d v="2026-06-15T00:00:00"/>
    <d v="2026-06-18T00:00:00"/>
    <s v="ISAMARA CAMPANHA"/>
    <x v="4"/>
    <s v="Leticia"/>
    <s v="F"/>
    <n v="5519996507621"/>
    <s v="Novo"/>
    <s v="Na planilha"/>
    <d v="2026-06-21T00:00:00"/>
    <x v="5"/>
  </r>
  <r>
    <d v="2026-06-12T00:00:00"/>
    <d v="2026-06-15T00:00:00"/>
    <d v="2026-06-18T00:00:00"/>
    <s v="PAMELA CRISTINA INACIO"/>
    <x v="2"/>
    <s v="John"/>
    <s v="M"/>
    <n v="5511988262984"/>
    <s v="Novo"/>
    <s v="Assinado"/>
    <d v="2026-06-21T00:00:00"/>
    <x v="5"/>
  </r>
  <r>
    <d v="2026-06-12T00:00:00"/>
    <d v="2026-06-15T00:00:00"/>
    <d v="2026-06-18T00:00:00"/>
    <s v="FRANCISCO CARLOS DA SILVA"/>
    <x v="2"/>
    <s v="John"/>
    <s v="M"/>
    <n v="5511977094575"/>
    <s v="Renovação"/>
    <s v="Assinado"/>
    <d v="2026-06-21T00:00:00"/>
    <x v="5"/>
  </r>
  <r>
    <d v="2026-06-12T00:00:00"/>
    <d v="2026-06-15T00:00:00"/>
    <d v="2026-06-18T00:00:00"/>
    <s v="DANTE AURELIO SOARES"/>
    <x v="0"/>
    <s v="Leticia"/>
    <s v="F"/>
    <n v="5511962935541"/>
    <s v="Novo"/>
    <s v="Assinado"/>
    <d v="2026-06-21T00:00:00"/>
    <x v="5"/>
  </r>
  <r>
    <d v="2026-06-15T00:00:00"/>
    <d v="2026-06-18T00:00:00"/>
    <d v="2026-06-21T00:00:00"/>
    <s v="GILVAN LUIZ DA SILVA"/>
    <x v="2"/>
    <s v="John"/>
    <s v="M"/>
    <n v="5513996359656"/>
    <s v="Novo"/>
    <s v="Assinado"/>
    <d v="2026-06-24T00:00:00"/>
    <x v="5"/>
  </r>
  <r>
    <d v="2026-06-15T00:00:00"/>
    <d v="2026-06-18T00:00:00"/>
    <d v="2026-06-21T00:00:00"/>
    <s v="JAIME DA ROCHA BARBOSA"/>
    <x v="4"/>
    <s v="Myrelle"/>
    <s v="F"/>
    <n v="5517991973185"/>
    <s v="Novo"/>
    <s v="Na planilha"/>
    <d v="2026-06-24T00:00:00"/>
    <x v="5"/>
  </r>
  <r>
    <d v="2026-06-15T00:00:00"/>
    <d v="2026-06-18T00:00:00"/>
    <d v="2026-06-21T00:00:00"/>
    <s v="YAN MATHEUS IAMAMURA ANDRADE"/>
    <x v="1"/>
    <s v="John"/>
    <s v="M"/>
    <n v="5511931522634"/>
    <s v="Renovação"/>
    <s v="Na planilha"/>
    <d v="2026-06-24T00:00:00"/>
    <x v="5"/>
  </r>
  <r>
    <d v="2026-06-15T00:00:00"/>
    <d v="2026-06-18T00:00:00"/>
    <d v="2026-06-21T00:00:00"/>
    <s v="DIEGO LOPES CALDEIRA"/>
    <x v="0"/>
    <s v="Leticia"/>
    <s v="F"/>
    <n v="5511933352675"/>
    <s v="Novo"/>
    <s v="Assinado"/>
    <d v="2026-06-24T00:00:00"/>
    <x v="5"/>
  </r>
  <r>
    <d v="2026-06-15T00:00:00"/>
    <d v="2026-06-18T00:00:00"/>
    <d v="2026-06-21T00:00:00"/>
    <s v="GILSON PAULO DA SILVA ROCHA"/>
    <x v="3"/>
    <s v="John"/>
    <s v="M"/>
    <n v="5511999713713"/>
    <s v="Novo"/>
    <s v="Assinado"/>
    <d v="2026-06-24T00:00:00"/>
    <x v="5"/>
  </r>
  <r>
    <d v="2026-06-15T00:00:00"/>
    <d v="2026-06-18T00:00:00"/>
    <d v="2026-06-21T00:00:00"/>
    <s v="FATIMA CRISTINA MONTEIRO DE OLIVEIRA"/>
    <x v="3"/>
    <s v="John"/>
    <s v="M"/>
    <n v="5511947209145"/>
    <s v="Novo"/>
    <s v="Assinado"/>
    <d v="2026-06-24T00:00:00"/>
    <x v="5"/>
  </r>
  <r>
    <d v="2026-06-16T00:00:00"/>
    <d v="2026-06-19T00:00:00"/>
    <d v="2026-06-22T00:00:00"/>
    <s v="NEIDE CAMILO DIAS"/>
    <x v="2"/>
    <s v="Myrelle"/>
    <s v="F"/>
    <n v="5512996578432"/>
    <s v="Novo"/>
    <s v="Assinado"/>
    <d v="2026-06-25T00:00:00"/>
    <x v="5"/>
  </r>
  <r>
    <d v="2026-06-16T00:00:00"/>
    <d v="2026-06-19T00:00:00"/>
    <d v="2026-06-22T00:00:00"/>
    <s v="MARCIA APARECIDA DE SOUZA"/>
    <x v="2"/>
    <s v="John"/>
    <s v="M"/>
    <n v="5511975721009"/>
    <s v="Novo"/>
    <s v="Na planilha"/>
    <d v="2026-06-25T00:00:00"/>
    <x v="5"/>
  </r>
  <r>
    <d v="2026-06-16T00:00:00"/>
    <d v="2026-06-19T00:00:00"/>
    <d v="2026-06-22T00:00:00"/>
    <s v="AILTON SANTOS SENA"/>
    <x v="2"/>
    <s v="Isabella"/>
    <s v="F"/>
    <n v="5511970595338"/>
    <s v="Novo"/>
    <s v="Na planilha"/>
    <d v="2026-06-25T00:00:00"/>
    <x v="5"/>
  </r>
  <r>
    <d v="2026-06-16T00:00:00"/>
    <d v="2026-06-19T00:00:00"/>
    <d v="2026-06-22T00:00:00"/>
    <s v="FABRICIO DANTAS FELIX"/>
    <x v="1"/>
    <s v="Jéssica"/>
    <s v="F"/>
    <n v="5511958917636"/>
    <s v="Novo"/>
    <s v="Na planilha"/>
    <d v="2026-06-25T00:00:00"/>
    <x v="5"/>
  </r>
  <r>
    <d v="2026-06-16T00:00:00"/>
    <d v="2026-06-19T00:00:00"/>
    <d v="2026-06-22T00:00:00"/>
    <s v="EVERTON LUIZ DA SILVA"/>
    <x v="1"/>
    <s v="Jacqueline"/>
    <s v="F"/>
    <n v="5511914299398"/>
    <s v="Novo"/>
    <s v="Assinado"/>
    <d v="2026-06-25T00:00:00"/>
    <x v="5"/>
  </r>
  <r>
    <d v="2026-06-16T00:00:00"/>
    <d v="2026-06-19T00:00:00"/>
    <d v="2026-06-22T00:00:00"/>
    <s v="EDENILSON DE JESUS SANTOS"/>
    <x v="1"/>
    <s v="John"/>
    <s v="M"/>
    <n v="5511916263642"/>
    <s v="Novo"/>
    <s v="Na planilha"/>
    <d v="2026-06-25T00:00:00"/>
    <x v="5"/>
  </r>
  <r>
    <d v="2026-06-16T00:00:00"/>
    <d v="2026-06-19T00:00:00"/>
    <d v="2026-06-22T00:00:00"/>
    <s v="PATRICIA MARQUES SOARES"/>
    <x v="7"/>
    <s v="Jéssica"/>
    <s v="F"/>
    <n v="5561984624036"/>
    <s v="Novo"/>
    <s v="Na planilha"/>
    <d v="2026-06-25T00:00:00"/>
    <x v="5"/>
  </r>
  <r>
    <d v="2026-06-17T00:00:00"/>
    <d v="2026-06-20T00:00:00"/>
    <d v="2026-06-23T00:00:00"/>
    <s v="MARCIA DINIZ DOS SANTOS"/>
    <x v="10"/>
    <s v="Leticia"/>
    <s v="F"/>
    <n v="5519983438107"/>
    <s v="Renovação"/>
    <s v="Na planilha"/>
    <d v="2026-06-25T00:00:00"/>
    <x v="5"/>
  </r>
  <r>
    <d v="2026-06-17T00:00:00"/>
    <d v="2026-06-20T00:00:00"/>
    <d v="2026-06-23T00:00:00"/>
    <s v="MARIA AUXILIADORA LIRA RODRIGUES"/>
    <x v="3"/>
    <s v="John"/>
    <s v="M"/>
    <n v="5511972642810"/>
    <s v="Renovação"/>
    <s v="Assinado"/>
    <d v="2026-06-26T00:00:00"/>
    <x v="5"/>
  </r>
  <r>
    <d v="2026-06-17T00:00:00"/>
    <d v="2026-06-20T00:00:00"/>
    <d v="2026-06-23T00:00:00"/>
    <s v="ALINE APARECIDA DE OLIVEIRA"/>
    <x v="5"/>
    <s v="John"/>
    <s v="M"/>
    <n v="5511959910483"/>
    <s v="Renovação"/>
    <s v="Assinado"/>
    <d v="2026-06-26T00:00:00"/>
    <x v="5"/>
  </r>
  <r>
    <d v="2026-06-17T00:00:00"/>
    <d v="2026-06-20T00:00:00"/>
    <d v="2026-06-23T00:00:00"/>
    <s v="JHENNER DE OLIVEIRA CARVALHO"/>
    <x v="5"/>
    <s v="John"/>
    <s v="M"/>
    <n v="5511996972502"/>
    <s v="Novo"/>
    <s v="Erro"/>
    <d v="2026-06-26T00:00:00"/>
    <x v="5"/>
  </r>
  <r>
    <d v="2026-06-17T00:00:00"/>
    <d v="2026-06-20T00:00:00"/>
    <d v="2026-06-23T00:00:00"/>
    <s v="CLAUDIO MARCOS BARBOSA NOGUEIRA"/>
    <x v="1"/>
    <s v="Leticia"/>
    <s v="F"/>
    <n v="5511939465144"/>
    <s v="Novo"/>
    <s v="Na planilha"/>
    <d v="2026-06-26T00:00:00"/>
    <x v="5"/>
  </r>
  <r>
    <d v="2026-06-18T00:00:00"/>
    <d v="2026-06-21T00:00:00"/>
    <d v="2026-06-24T00:00:00"/>
    <s v="GILBERTO DA SILVA"/>
    <x v="0"/>
    <s v="Leticia"/>
    <s v="F"/>
    <n v="5511998666275"/>
    <s v="Novo"/>
    <s v="Assinado"/>
    <d v="2026-06-27T00:00:00"/>
    <x v="5"/>
  </r>
  <r>
    <d v="2026-06-19T00:00:00"/>
    <d v="2026-06-22T00:00:00"/>
    <d v="2026-06-25T00:00:00"/>
    <s v="ANA PAULA DA SILVEIRA NOTINI"/>
    <x v="0"/>
    <s v="Jacqueline"/>
    <s v="F"/>
    <n v="5524999929885"/>
    <s v="Novo"/>
    <s v="Na planilha"/>
    <d v="2026-06-28T00:00:00"/>
    <x v="5"/>
  </r>
  <r>
    <d v="2026-06-19T00:00:00"/>
    <d v="2026-06-22T00:00:00"/>
    <d v="2026-06-25T00:00:00"/>
    <s v="JOSE PEREIRA DA SILVA FILHO"/>
    <x v="0"/>
    <s v="Leticia"/>
    <s v="F"/>
    <n v="5511981696284"/>
    <s v="Novo"/>
    <s v="Assinado"/>
    <d v="2026-06-28T00:00:00"/>
    <x v="5"/>
  </r>
  <r>
    <d v="2026-06-19T00:00:00"/>
    <d v="2026-06-22T00:00:00"/>
    <d v="2026-06-25T00:00:00"/>
    <s v="SERGIO NICOLAU DE MENDONCA"/>
    <x v="0"/>
    <s v="Jéssica"/>
    <s v="F"/>
    <n v="5511998694862"/>
    <s v="Novo"/>
    <s v="Assinado"/>
    <d v="2026-06-28T00:00:00"/>
    <x v="5"/>
  </r>
  <r>
    <d v="2026-06-19T00:00:00"/>
    <d v="2026-06-22T00:00:00"/>
    <d v="2026-06-25T00:00:00"/>
    <s v="SEVERINO RAMOS DOS SANTOS"/>
    <x v="2"/>
    <s v="John"/>
    <s v="M"/>
    <n v="5511940833576"/>
    <s v="Renovação"/>
    <s v="Assinado"/>
    <d v="2026-06-28T00:00:00"/>
    <x v="5"/>
  </r>
  <r>
    <d v="2026-06-19T00:00:00"/>
    <d v="2026-06-22T00:00:00"/>
    <d v="2026-06-25T00:00:00"/>
    <s v="ISMAEL PEREIRA DA SILVA"/>
    <x v="5"/>
    <s v="John"/>
    <s v="M"/>
    <n v="5511963230410"/>
    <s v="Renovação"/>
    <s v="Assinado"/>
    <d v="2026-06-28T00:00:00"/>
    <x v="5"/>
  </r>
  <r>
    <d v="2026-06-19T00:00:00"/>
    <d v="2026-06-22T00:00:00"/>
    <d v="2026-06-25T00:00:00"/>
    <s v="HOZIANO VICENTE SANTIAGO DE FREITAS"/>
    <x v="3"/>
    <s v="John"/>
    <s v="M"/>
    <n v="5511952987872"/>
    <s v="Renovação"/>
    <s v="Na planilha"/>
    <d v="2026-06-28T00:00:00"/>
    <x v="5"/>
  </r>
  <r>
    <d v="2026-06-19T00:00:00"/>
    <d v="2026-06-22T00:00:00"/>
    <d v="2026-06-25T00:00:00"/>
    <s v="MARCOS ROBERTO MOREIRA"/>
    <x v="1"/>
    <s v="John"/>
    <s v="M"/>
    <n v="5511972923491"/>
    <s v="Novo"/>
    <s v="Assinado"/>
    <d v="2026-06-28T00:00:00"/>
    <x v="5"/>
  </r>
  <r>
    <d v="2026-06-19T00:00:00"/>
    <d v="2026-06-22T00:00:00"/>
    <d v="2026-06-25T00:00:00"/>
    <s v="JORGE LUIZ DO NASCIMENTO VIANA"/>
    <x v="0"/>
    <s v="John"/>
    <s v="M"/>
    <n v="5511947444733"/>
    <s v="Novo"/>
    <s v="Assinado"/>
    <d v="2026-06-28T00:00:00"/>
    <x v="5"/>
  </r>
  <r>
    <d v="2026-06-22T00:00:00"/>
    <d v="2026-06-25T00:00:00"/>
    <d v="2026-06-28T00:00:00"/>
    <s v="FRANCISCO DOS SANTOS SILVA"/>
    <x v="2"/>
    <s v="Isabella"/>
    <s v="F"/>
    <n v="5511965651870"/>
    <s v="Renovação"/>
    <s v="Assinado"/>
    <d v="2026-07-01T00:00:00"/>
    <x v="5"/>
  </r>
  <r>
    <d v="2026-06-22T00:00:00"/>
    <d v="2026-06-25T00:00:00"/>
    <d v="2026-06-28T00:00:00"/>
    <s v="DAVI PEREIRA DA COSTA"/>
    <x v="3"/>
    <s v="Leticia"/>
    <s v="F"/>
    <n v="5511913174081"/>
    <s v="Novo"/>
    <s v="Na planilha"/>
    <d v="2026-07-01T00:00:00"/>
    <x v="5"/>
  </r>
  <r>
    <d v="2026-06-22T00:00:00"/>
    <d v="2026-06-25T00:00:00"/>
    <d v="2026-06-28T00:00:00"/>
    <s v="ANTONIO JOSE DA LUZ FILHO"/>
    <x v="0"/>
    <s v="Isabella"/>
    <s v="F"/>
    <n v="5511987318370"/>
    <s v="Novo"/>
    <s v="Assinado"/>
    <d v="2026-07-01T00:00:00"/>
    <x v="5"/>
  </r>
  <r>
    <d v="2026-06-22T00:00:00"/>
    <d v="2026-06-25T00:00:00"/>
    <d v="2026-06-28T00:00:00"/>
    <s v="LEONIDAS DOS SANTOS SILVA"/>
    <x v="0"/>
    <s v="Jacqueline"/>
    <s v="F"/>
    <n v="5519991904102"/>
    <s v="Novo"/>
    <s v="Assinado"/>
    <d v="2026-07-01T00:00:00"/>
    <x v="5"/>
  </r>
  <r>
    <d v="2026-06-22T00:00:00"/>
    <d v="2026-06-25T00:00:00"/>
    <d v="2026-06-28T00:00:00"/>
    <s v="DEYMISON SILVA SANTOS"/>
    <x v="1"/>
    <s v="John"/>
    <s v="M"/>
    <n v="5511941653539"/>
    <s v="Novo"/>
    <s v="Cancelado"/>
    <d v="2026-07-01T00:00:00"/>
    <x v="5"/>
  </r>
  <r>
    <d v="2026-06-22T00:00:00"/>
    <d v="2026-06-25T00:00:00"/>
    <d v="2026-06-28T00:00:00"/>
    <s v="ANDRE LUIS OUTEIRO PINTO"/>
    <x v="0"/>
    <s v="John"/>
    <s v="M"/>
    <n v="5519991553006"/>
    <s v="Novo"/>
    <s v="Assinado"/>
    <d v="2026-07-01T00:00:00"/>
    <x v="5"/>
  </r>
  <r>
    <d v="2026-06-22T00:00:00"/>
    <d v="2026-06-25T00:00:00"/>
    <d v="2026-06-28T00:00:00"/>
    <s v="RODRIGO DOS SANTOS VAZ"/>
    <x v="4"/>
    <s v="Leticia"/>
    <s v="F"/>
    <n v="5514997011781"/>
    <s v="Novo"/>
    <s v="Assinado"/>
    <d v="2026-07-01T00:00:00"/>
    <x v="5"/>
  </r>
  <r>
    <d v="2026-06-22T00:00:00"/>
    <d v="2026-06-25T00:00:00"/>
    <d v="2026-06-28T00:00:00"/>
    <s v="LUIZ FELIPE MALAQUIAS TAVARES"/>
    <x v="1"/>
    <s v="Leticia"/>
    <s v="F"/>
    <n v="5511993396277"/>
    <s v="Novo"/>
    <s v="Na planilha"/>
    <d v="2026-07-01T00:00:00"/>
    <x v="5"/>
  </r>
  <r>
    <d v="2026-06-22T00:00:00"/>
    <d v="2026-06-25T00:00:00"/>
    <d v="2026-06-28T00:00:00"/>
    <s v="JOSE IRAN ALVES FERREIRA"/>
    <x v="0"/>
    <s v="Leticia"/>
    <s v="F"/>
    <n v="5511973405938"/>
    <s v="Novo"/>
    <s v="Assinado"/>
    <d v="2026-07-01T00:00:00"/>
    <x v="5"/>
  </r>
  <r>
    <d v="2026-06-23T00:00:00"/>
    <d v="2026-06-26T00:00:00"/>
    <d v="2026-06-29T00:00:00"/>
    <s v="JOAO VITOR CZERNUCHA PEREIRA"/>
    <x v="1"/>
    <s v="John"/>
    <s v="M"/>
    <n v="5511989970537"/>
    <s v="Novo"/>
    <s v="Assinado"/>
    <d v="2026-07-02T00:00:00"/>
    <x v="5"/>
  </r>
  <r>
    <d v="2026-06-23T00:00:00"/>
    <d v="2026-06-26T00:00:00"/>
    <d v="2026-06-29T00:00:00"/>
    <s v="KATIA APARECIDA MEDEIROS ALVES GRILLO"/>
    <x v="0"/>
    <s v="John"/>
    <s v="M"/>
    <n v="5515991844789"/>
    <s v="Novo"/>
    <s v="Assinado"/>
    <d v="2026-07-02T00:00:00"/>
    <x v="5"/>
  </r>
  <r>
    <d v="2026-06-23T00:00:00"/>
    <d v="2026-06-26T00:00:00"/>
    <d v="2026-06-29T00:00:00"/>
    <s v="ADIR MAGNO BEXIGA PEREIRA"/>
    <x v="3"/>
    <s v="Jacqueline"/>
    <s v="F"/>
    <n v="5543996433601"/>
    <s v="Novo"/>
    <s v="Assinado"/>
    <d v="2026-07-02T00:00:00"/>
    <x v="5"/>
  </r>
  <r>
    <d v="2026-06-23T00:00:00"/>
    <d v="2026-06-26T00:00:00"/>
    <d v="2026-06-29T00:00:00"/>
    <s v="PATRICIA DELLA POSTA"/>
    <x v="2"/>
    <s v="John"/>
    <s v="M"/>
    <n v="5512997297433"/>
    <s v="Novo"/>
    <s v="Assinado"/>
    <d v="2026-07-02T00:00:00"/>
    <x v="5"/>
  </r>
  <r>
    <d v="2026-06-24T00:00:00"/>
    <d v="2026-06-27T00:00:00"/>
    <d v="2026-06-30T00:00:00"/>
    <s v="ALESSANDRA APARECIDA MENDONCA LEITE"/>
    <x v="0"/>
    <s v="Leticia"/>
    <s v="F"/>
    <n v="5511980795964"/>
    <s v="Novo"/>
    <s v="Na planilha"/>
    <d v="2026-07-03T00:00:00"/>
    <x v="5"/>
  </r>
  <r>
    <d v="2026-06-24T00:00:00"/>
    <d v="2026-06-27T00:00:00"/>
    <d v="2026-06-30T00:00:00"/>
    <s v="RANGEL SILVA"/>
    <x v="4"/>
    <s v="Leticia"/>
    <s v="F"/>
    <n v="5561996211765"/>
    <s v="Novo"/>
    <s v="Assinado"/>
    <d v="2026-07-03T00:00:00"/>
    <x v="5"/>
  </r>
  <r>
    <d v="2026-06-24T00:00:00"/>
    <d v="2026-06-27T00:00:00"/>
    <d v="2026-06-30T00:00:00"/>
    <s v="FRANCISCO ANTONIO BENEVENUTTO PENTEADO"/>
    <x v="2"/>
    <s v="Jéssica"/>
    <s v="F"/>
    <n v="5511981474000"/>
    <s v="Novo"/>
    <s v="Cancelado"/>
    <d v="2026-07-05T00:00:00"/>
    <x v="5"/>
  </r>
  <r>
    <d v="2026-06-24T00:00:00"/>
    <d v="2026-06-27T00:00:00"/>
    <d v="2026-06-30T00:00:00"/>
    <s v="EDMILSON DA COSTA SOUZA"/>
    <x v="1"/>
    <s v="John"/>
    <s v="M"/>
    <n v="5511969458072"/>
    <s v="Renovação"/>
    <s v="Assinado"/>
    <d v="2026-07-03T00:00:00"/>
    <x v="5"/>
  </r>
  <r>
    <d v="2026-06-24T00:00:00"/>
    <d v="2026-06-27T00:00:00"/>
    <d v="2026-06-30T00:00:00"/>
    <s v="JOSE ROBERTO RIOS"/>
    <x v="2"/>
    <s v="John"/>
    <s v="M"/>
    <n v="5511981485921"/>
    <s v="Renovação"/>
    <s v="Assinado"/>
    <d v="2026-07-03T00:00:00"/>
    <x v="5"/>
  </r>
  <r>
    <d v="2026-06-24T00:00:00"/>
    <d v="2026-06-27T00:00:00"/>
    <d v="2026-06-30T00:00:00"/>
    <s v="JOSE CARLOS FERNANDES DANTAS"/>
    <x v="1"/>
    <s v="John"/>
    <s v="M"/>
    <n v="5511987617036"/>
    <s v="Renovação"/>
    <s v="Assinado"/>
    <d v="2026-07-03T00:00:00"/>
    <x v="5"/>
  </r>
  <r>
    <d v="2026-06-24T00:00:00"/>
    <d v="2026-06-27T00:00:00"/>
    <d v="2026-06-30T00:00:00"/>
    <s v="EDUARDO ROCHA"/>
    <x v="1"/>
    <s v="John"/>
    <s v="M"/>
    <n v="5511976170250"/>
    <s v="Renovação"/>
    <s v="Assinado"/>
    <d v="2026-07-03T00:00:00"/>
    <x v="5"/>
  </r>
  <r>
    <d v="2026-06-24T00:00:00"/>
    <d v="2026-06-27T00:00:00"/>
    <d v="2026-06-30T00:00:00"/>
    <s v="NATALIA CRISTINA RUIZ"/>
    <x v="1"/>
    <s v="Leticia"/>
    <s v="F"/>
    <n v="5511947488885"/>
    <s v="Renovação"/>
    <s v="Assinado"/>
    <d v="2026-07-03T00:00:00"/>
    <x v="5"/>
  </r>
  <r>
    <d v="2026-06-24T00:00:00"/>
    <d v="2026-06-27T00:00:00"/>
    <d v="2026-06-30T00:00:00"/>
    <s v="MARIA DOS PRAZERES DE MELO"/>
    <x v="2"/>
    <s v="Leticia"/>
    <s v="F"/>
    <n v="5511950773310"/>
    <s v="Renovação"/>
    <s v="Erro"/>
    <d v="2026-07-03T00:00:00"/>
    <x v="5"/>
  </r>
  <r>
    <d v="2026-06-24T00:00:00"/>
    <d v="2026-06-27T00:00:00"/>
    <d v="2026-06-30T00:00:00"/>
    <s v="JOAO MOURA DA CRUZ"/>
    <x v="2"/>
    <s v="John"/>
    <s v="M"/>
    <n v="5511948735480"/>
    <s v="Renovação"/>
    <s v="Assinado"/>
    <d v="2026-07-03T00:00:00"/>
    <x v="5"/>
  </r>
  <r>
    <d v="2026-06-24T00:00:00"/>
    <d v="2026-06-27T00:00:00"/>
    <d v="2026-06-30T00:00:00"/>
    <s v="PATRICIA VENI"/>
    <x v="1"/>
    <s v="Isabella"/>
    <s v="F"/>
    <n v="5511982181803"/>
    <s v="Novo"/>
    <s v="Assinado"/>
    <d v="2026-07-03T00:00:00"/>
    <x v="5"/>
  </r>
  <r>
    <d v="2026-06-24T00:00:00"/>
    <d v="2026-06-27T00:00:00"/>
    <d v="2026-06-30T00:00:00"/>
    <s v="JOILSON ANTONIO DOS SANTOS"/>
    <x v="0"/>
    <s v="Isabella"/>
    <s v="F"/>
    <n v="5511982224853"/>
    <s v="Novo"/>
    <s v="Assinado"/>
    <d v="2026-07-03T00:00:00"/>
    <x v="5"/>
  </r>
  <r>
    <d v="2026-06-25T00:00:00"/>
    <d v="2026-06-28T00:00:00"/>
    <d v="2026-07-01T00:00:00"/>
    <s v="DJACIRA DOS SANTOS SILVA"/>
    <x v="0"/>
    <s v="Leticia"/>
    <s v="F"/>
    <n v="5511975333117"/>
    <s v="Novo"/>
    <s v="Assinado"/>
    <d v="2026-07-09T00:00:00"/>
    <x v="5"/>
  </r>
  <r>
    <d v="2026-06-25T00:00:00"/>
    <d v="2026-06-28T00:00:00"/>
    <d v="2026-07-01T00:00:00"/>
    <s v="ROSILFRAN DA SILVA COSTA"/>
    <x v="2"/>
    <s v="John"/>
    <s v="M"/>
    <n v="5511993401451"/>
    <s v="Novo"/>
    <s v="Erro"/>
    <d v="2026-07-04T00:00:00"/>
    <x v="5"/>
  </r>
  <r>
    <d v="2026-06-26T00:00:00"/>
    <d v="2026-06-29T00:00:00"/>
    <d v="2026-07-02T00:00:00"/>
    <s v="JEAN DIAS GOMES"/>
    <x v="2"/>
    <s v="Leticia"/>
    <s v="F"/>
    <n v="5511979616434"/>
    <s v="Renovação"/>
    <s v="Assinado"/>
    <d v="2026-07-05T00:00:00"/>
    <x v="5"/>
  </r>
  <r>
    <d v="2026-06-26T00:00:00"/>
    <d v="2026-06-29T00:00:00"/>
    <d v="2026-07-02T00:00:00"/>
    <s v="ADERSON SOARES LOPES"/>
    <x v="1"/>
    <s v="Isabella"/>
    <s v="F"/>
    <n v="5519978104439"/>
    <s v="Novo"/>
    <s v="Na planilha"/>
    <d v="2026-07-05T00:00:00"/>
    <x v="5"/>
  </r>
  <r>
    <d v="2026-06-26T00:00:00"/>
    <d v="2026-06-29T00:00:00"/>
    <d v="2026-07-02T00:00:00"/>
    <s v="ROSENILDO SANTOS DE LIMA"/>
    <x v="0"/>
    <s v="Isabella"/>
    <s v="F"/>
    <n v="5511959616083"/>
    <s v="Novo"/>
    <s v="Assinado"/>
    <d v="2026-07-05T00:00:00"/>
    <x v="5"/>
  </r>
  <r>
    <d v="2026-06-26T00:00:00"/>
    <d v="2026-06-29T00:00:00"/>
    <d v="2026-07-02T00:00:00"/>
    <s v="RICARDO REIS BORGES"/>
    <x v="2"/>
    <s v="John"/>
    <s v="M"/>
    <n v="5516991241618"/>
    <s v="Novo"/>
    <s v="Assinado"/>
    <d v="2026-07-05T00:00:00"/>
    <x v="5"/>
  </r>
  <r>
    <d v="2026-06-26T00:00:00"/>
    <d v="2026-06-29T00:00:00"/>
    <d v="2026-07-02T00:00:00"/>
    <s v="JACKSON DOUGLAS MARQUES SANTOS"/>
    <x v="1"/>
    <s v="John"/>
    <s v="M"/>
    <n v="5511960839682"/>
    <s v="Novo"/>
    <s v="Na planilha"/>
    <d v="2026-07-05T00:00:00"/>
    <x v="5"/>
  </r>
  <r>
    <d v="2026-06-26T00:00:00"/>
    <d v="2026-06-29T00:00:00"/>
    <d v="2026-07-02T00:00:00"/>
    <s v="JOSE CARLOS PEREA"/>
    <x v="2"/>
    <s v="John"/>
    <s v="M"/>
    <n v="5514997737109"/>
    <s v="Renovação"/>
    <s v="Assinado"/>
    <d v="2026-07-05T00:00:00"/>
    <x v="5"/>
  </r>
  <r>
    <d v="2026-06-26T00:00:00"/>
    <d v="2026-06-29T00:00:00"/>
    <d v="2026-07-02T00:00:00"/>
    <s v="NEUSA MARIA LISBOA"/>
    <x v="0"/>
    <s v="Jacqueline"/>
    <s v="F"/>
    <n v="5511932370634"/>
    <s v="Novo"/>
    <s v="Na planilha"/>
    <d v="2026-07-05T00:00:00"/>
    <x v="5"/>
  </r>
  <r>
    <d v="2026-06-26T00:00:00"/>
    <d v="2026-06-29T00:00:00"/>
    <d v="2026-07-02T00:00:00"/>
    <s v="DARCI DONIZETI DE MORAES"/>
    <x v="0"/>
    <s v="Isabella"/>
    <s v="F"/>
    <n v="5511963966010"/>
    <s v="Novo"/>
    <s v="Assinado"/>
    <d v="2026-07-05T00:00:00"/>
    <x v="5"/>
  </r>
  <r>
    <d v="2026-06-26T00:00:00"/>
    <d v="2026-06-29T00:00:00"/>
    <d v="2026-07-02T00:00:00"/>
    <s v="LUIZ ANTONIO GRETER"/>
    <x v="1"/>
    <s v="Isabella"/>
    <s v="F"/>
    <n v="5518997621000"/>
    <s v="Renovação"/>
    <s v="Na planilha"/>
    <d v="2026-07-05T00:00:00"/>
    <x v="5"/>
  </r>
  <r>
    <d v="2026-06-26T00:00:00"/>
    <d v="2026-06-29T00:00:00"/>
    <d v="2026-07-02T00:00:00"/>
    <s v="MARCELO ANTONIO VALERETTO"/>
    <x v="2"/>
    <s v="John"/>
    <s v="M"/>
    <n v="5511952843108"/>
    <s v="Novo"/>
    <s v="Na planilha"/>
    <d v="2026-07-05T00:00:00"/>
    <x v="5"/>
  </r>
  <r>
    <d v="2026-06-26T00:00:00"/>
    <d v="2026-06-29T00:00:00"/>
    <d v="2026-07-02T00:00:00"/>
    <s v="WALISON NASCIMENTO SALES"/>
    <x v="1"/>
    <s v="John"/>
    <s v="M"/>
    <n v="5511987740897"/>
    <s v="Novo"/>
    <s v="Assinado"/>
    <d v="2026-07-05T00:00:00"/>
    <x v="5"/>
  </r>
  <r>
    <d v="2026-06-30T00:00:00"/>
    <d v="2026-07-03T00:00:00"/>
    <d v="2026-07-06T00:00:00"/>
    <s v="VALDEMIR DOS SANTOS DE SOUSA"/>
    <x v="2"/>
    <s v="Jéssica"/>
    <s v="F"/>
    <n v="5511968313947"/>
    <s v="Novo"/>
    <s v="Assinado"/>
    <d v="2026-07-09T00:00:00"/>
    <x v="5"/>
  </r>
  <r>
    <d v="2026-06-30T00:00:00"/>
    <d v="2026-07-03T00:00:00"/>
    <d v="2026-07-06T00:00:00"/>
    <s v="DOUGLAS RABELO MARQUES"/>
    <x v="0"/>
    <s v="Jéssica"/>
    <s v="F"/>
    <n v="5561982057318"/>
    <s v="Novo"/>
    <s v="Assinado"/>
    <d v="2026-07-09T00:00:00"/>
    <x v="5"/>
  </r>
  <r>
    <d v="2026-06-30T00:00:00"/>
    <d v="2026-07-03T00:00:00"/>
    <d v="2026-07-06T00:00:00"/>
    <s v="RENATO BATISTA DOS SANTOS"/>
    <x v="0"/>
    <s v="Leticia"/>
    <s v="F"/>
    <n v="5519994135803"/>
    <s v="Novo"/>
    <s v="Assinado"/>
    <d v="2026-07-09T00:00:00"/>
    <x v="5"/>
  </r>
  <r>
    <d v="2026-06-30T00:00:00"/>
    <d v="2026-07-03T00:00:00"/>
    <d v="2026-07-06T00:00:00"/>
    <s v="JOSE VALMIR DE MOURA"/>
    <x v="3"/>
    <s v="John"/>
    <s v="M"/>
    <n v="5511975730590"/>
    <s v="Novo"/>
    <s v="Assinado"/>
    <d v="2026-07-09T00:00:00"/>
    <x v="5"/>
  </r>
  <r>
    <d v="2026-06-30T00:00:00"/>
    <d v="2026-07-03T00:00:00"/>
    <d v="2026-07-06T00:00:00"/>
    <s v="GABRIELA DE ALMEIDA CARMO"/>
    <x v="6"/>
    <s v="Jacqueline"/>
    <s v="F"/>
    <n v="5511958530614"/>
    <s v="Novo"/>
    <s v="Assinado"/>
    <d v="2026-07-09T00:00:00"/>
    <x v="5"/>
  </r>
  <r>
    <d v="2026-06-30T00:00:00"/>
    <d v="2026-07-03T00:00:00"/>
    <d v="2026-07-06T00:00:00"/>
    <s v="ANA CAROLINA DA SILVEIRA NOTINI SIBUCS"/>
    <x v="0"/>
    <s v="Jacqueline"/>
    <s v="F"/>
    <n v="5521998616725"/>
    <s v="Novo"/>
    <s v="Assinado"/>
    <d v="2026-07-09T00:00:00"/>
    <x v="5"/>
  </r>
  <r>
    <d v="2026-06-30T00:00:00"/>
    <d v="2026-07-03T00:00:00"/>
    <d v="2026-07-06T00:00:00"/>
    <s v="RAFAEL LOCATI TEIXEIRA"/>
    <x v="1"/>
    <s v="Leticia"/>
    <s v="F"/>
    <n v="5511983101431"/>
    <s v="Novo"/>
    <s v="Na planilha"/>
    <d v="2026-07-09T00:00:00"/>
    <x v="5"/>
  </r>
  <r>
    <d v="2026-06-30T00:00:00"/>
    <d v="2026-07-03T00:00:00"/>
    <d v="2026-07-06T00:00:00"/>
    <s v="JOSE IRAN ALVES FERREIRA"/>
    <x v="0"/>
    <s v="Leticia"/>
    <s v="F"/>
    <n v="5511973405938"/>
    <s v="Novo"/>
    <s v="Na planilha"/>
    <d v="2026-07-09T00:00:00"/>
    <x v="5"/>
  </r>
  <r>
    <d v="2026-06-30T00:00:00"/>
    <d v="2026-07-03T00:00:00"/>
    <d v="2026-07-06T00:00:00"/>
    <s v="GABRIELA DE ALMEIDA CARMO"/>
    <x v="6"/>
    <s v="Jacqueline"/>
    <s v="F"/>
    <n v="5511958530614"/>
    <s v="Novo"/>
    <s v="Assinado"/>
    <d v="2026-07-09T00:00:00"/>
    <x v="5"/>
  </r>
  <r>
    <d v="2026-06-30T00:00:00"/>
    <d v="2026-07-03T00:00:00"/>
    <d v="2026-07-06T00:00:00"/>
    <s v="CLAUDIO ALEXANDRE BASTOS SANTOS"/>
    <x v="9"/>
    <s v="Jacqueline"/>
    <s v="F"/>
    <n v="5575992512463"/>
    <s v="Novo"/>
    <s v="Na planilha"/>
    <d v="2026-07-09T00:00:00"/>
    <x v="5"/>
  </r>
  <r>
    <d v="2026-06-30T00:00:00"/>
    <d v="2026-07-03T00:00:00"/>
    <d v="2026-07-06T00:00:00"/>
    <s v="ALEXANDRE CONCEICAO BARBOSA"/>
    <x v="2"/>
    <s v="Leticia"/>
    <s v="F"/>
    <n v="5511984622306"/>
    <s v="Novo"/>
    <s v="Assinado"/>
    <d v="2026-07-09T00:00:00"/>
    <x v="5"/>
  </r>
  <r>
    <d v="2026-07-01T00:00:00"/>
    <d v="2026-07-04T00:00:00"/>
    <d v="2026-07-07T00:00:00"/>
    <s v="JANICE MARTINS DE ALMEIDA"/>
    <x v="3"/>
    <s v="John"/>
    <s v="M"/>
    <n v="5511981869962"/>
    <s v="Renovação"/>
    <s v="Assinado"/>
    <d v="2026-07-10T00:00:00"/>
    <x v="6"/>
  </r>
  <r>
    <d v="2026-07-01T00:00:00"/>
    <d v="2026-07-04T00:00:00"/>
    <d v="2026-07-07T00:00:00"/>
    <s v="MARCOS RIBEIRO SUPPI"/>
    <x v="1"/>
    <s v="John"/>
    <s v="M"/>
    <n v="5512981828361"/>
    <s v="Novo"/>
    <s v="Assinado"/>
    <d v="2026-07-10T00:00:00"/>
    <x v="6"/>
  </r>
  <r>
    <d v="2026-07-01T00:00:00"/>
    <d v="2026-07-04T00:00:00"/>
    <d v="2026-07-07T00:00:00"/>
    <s v="ANA LUIZA AFFONSO CARDOSO"/>
    <x v="3"/>
    <s v="John"/>
    <s v="M"/>
    <n v="5511984621026"/>
    <s v="Renovação"/>
    <s v="Assinado"/>
    <d v="2026-07-10T00:00:00"/>
    <x v="6"/>
  </r>
  <r>
    <d v="2026-07-01T00:00:00"/>
    <d v="2026-07-04T00:00:00"/>
    <d v="2026-07-07T00:00:00"/>
    <s v="MARCELO PERPETUO ALVES"/>
    <x v="3"/>
    <s v="John"/>
    <s v="M"/>
    <n v="5517996052286"/>
    <s v="Novo"/>
    <s v="Assinado"/>
    <d v="2026-07-10T00:00:00"/>
    <x v="6"/>
  </r>
  <r>
    <d v="2026-07-01T00:00:00"/>
    <d v="2026-07-04T00:00:00"/>
    <d v="2026-07-07T00:00:00"/>
    <s v="SAMANTHA DA CRUZ BEZERRA DE SOUZA"/>
    <x v="1"/>
    <s v="John"/>
    <s v="M"/>
    <n v="5511952388687"/>
    <s v="Novo"/>
    <s v="Na planilha"/>
    <d v="2026-07-10T00:00:00"/>
    <x v="6"/>
  </r>
  <r>
    <d v="2026-07-01T00:00:00"/>
    <d v="2026-07-04T00:00:00"/>
    <d v="2026-07-07T00:00:00"/>
    <s v="MARCIO PEREIRA CABECA"/>
    <x v="5"/>
    <s v="John"/>
    <s v="M"/>
    <n v="5511940512041"/>
    <s v="Novo"/>
    <s v="Assinado(manual)"/>
    <d v="2026-07-10T00:00:00"/>
    <x v="6"/>
  </r>
  <r>
    <d v="2026-07-01T00:00:00"/>
    <d v="2026-07-04T00:00:00"/>
    <d v="2026-07-07T00:00:00"/>
    <s v="JOSE LEANDRO NICOLAU"/>
    <x v="3"/>
    <s v="Myrelle"/>
    <s v="F"/>
    <n v="5519992933799"/>
    <s v="Novo"/>
    <s v="Assinado"/>
    <d v="2026-07-10T00:00:00"/>
    <x v="6"/>
  </r>
  <r>
    <d v="2026-07-01T00:00:00"/>
    <d v="2026-07-04T00:00:00"/>
    <d v="2026-07-07T00:00:00"/>
    <s v="ALEX SANDRO DIAS DA SILVA"/>
    <x v="0"/>
    <s v="Isabella"/>
    <s v="F"/>
    <n v="5511970176418"/>
    <s v="Novo"/>
    <s v="Assinado"/>
    <d v="2026-07-10T00:00:00"/>
    <x v="6"/>
  </r>
  <r>
    <d v="2026-07-01T00:00:00"/>
    <d v="2026-07-04T00:00:00"/>
    <d v="2026-07-07T00:00:00"/>
    <s v="GIVALDO DE OLIVEIRA MELO"/>
    <x v="2"/>
    <s v="Isabella"/>
    <s v="F"/>
    <n v="5519984428601"/>
    <s v="Novo"/>
    <s v="Assinado"/>
    <d v="2026-07-10T00:00:00"/>
    <x v="6"/>
  </r>
  <r>
    <d v="2026-07-01T00:00:00"/>
    <d v="2026-07-04T00:00:00"/>
    <d v="2026-07-07T00:00:00"/>
    <s v="SELMA CRISTINA ANTUNES DE OLIVEIRA"/>
    <x v="0"/>
    <s v="Myrelle"/>
    <s v="F"/>
    <n v="5512997240858"/>
    <s v="Novo"/>
    <s v="Assinado"/>
    <d v="2026-07-10T00:00:00"/>
    <x v="6"/>
  </r>
  <r>
    <d v="2026-07-01T00:00:00"/>
    <d v="2026-07-04T00:00:00"/>
    <d v="2026-07-07T00:00:00"/>
    <s v="WASHINGTON PEREIRA"/>
    <x v="3"/>
    <s v="John"/>
    <s v="M"/>
    <n v="5511999110016"/>
    <s v="Novo"/>
    <s v="Assinado"/>
    <d v="2026-07-10T00:00:00"/>
    <x v="6"/>
  </r>
  <r>
    <d v="2026-07-02T00:00:00"/>
    <d v="2026-07-05T00:00:00"/>
    <d v="2026-07-08T00:00:00"/>
    <s v="GUILHERME MARTINS CHAVENCO"/>
    <x v="0"/>
    <s v="Jacqueline"/>
    <s v="F"/>
    <n v="5511985596245"/>
    <s v="Novo"/>
    <s v="Assinado"/>
    <d v="2026-07-11T00:00:00"/>
    <x v="6"/>
  </r>
  <r>
    <d v="2026-07-02T00:00:00"/>
    <d v="2026-07-05T00:00:00"/>
    <d v="2026-07-08T00:00:00"/>
    <s v="JAIME ANTUNES DE SOUZA"/>
    <x v="1"/>
    <s v="Myrelle"/>
    <s v="F"/>
    <n v="5519935059084"/>
    <s v="Novo"/>
    <s v="Assinado"/>
    <d v="2026-07-11T00:00:00"/>
    <x v="6"/>
  </r>
  <r>
    <d v="2026-07-02T00:00:00"/>
    <d v="2026-07-05T00:00:00"/>
    <d v="2026-07-08T00:00:00"/>
    <s v="LUCAS GABRIEL SANTANA DOS SANTOS"/>
    <x v="1"/>
    <s v="Leticia"/>
    <s v="F"/>
    <n v="5511998603026"/>
    <s v="Novo"/>
    <s v="Assinado"/>
    <d v="2026-07-11T00:00:00"/>
    <x v="6"/>
  </r>
  <r>
    <d v="2026-07-02T00:00:00"/>
    <d v="2026-07-05T00:00:00"/>
    <d v="2026-07-08T00:00:00"/>
    <s v="EDIVALDO VICENTE DA SILVA"/>
    <x v="2"/>
    <s v="John"/>
    <s v="M"/>
    <n v="5511962437321"/>
    <s v="Novo"/>
    <s v="Na planilha"/>
    <d v="2026-07-11T00:00:00"/>
    <x v="6"/>
  </r>
  <r>
    <d v="2026-07-02T00:00:00"/>
    <d v="2026-07-05T00:00:00"/>
    <d v="2026-07-08T00:00:00"/>
    <s v="ELISANDRA RODRIGUES DA SILVA PAIM REIS"/>
    <x v="0"/>
    <s v="John"/>
    <s v="M"/>
    <n v="5511983636718"/>
    <s v="Novo"/>
    <s v="Assinado"/>
    <d v="2026-07-11T00:00:00"/>
    <x v="6"/>
  </r>
  <r>
    <d v="2026-07-02T00:00:00"/>
    <d v="2026-07-05T00:00:00"/>
    <d v="2026-07-08T00:00:00"/>
    <s v="RENATO GERMANO GOMES DA SILVA"/>
    <x v="9"/>
    <s v="John"/>
    <s v="M"/>
    <n v="5511968715266"/>
    <s v="Novo"/>
    <s v="Assinado"/>
    <d v="2026-07-11T00:00:00"/>
    <x v="6"/>
  </r>
  <r>
    <d v="2026-07-02T00:00:00"/>
    <d v="2026-07-05T00:00:00"/>
    <d v="2026-07-08T00:00:00"/>
    <s v="ANTONIO CARLOS SANTOS OLIVEIRA"/>
    <x v="2"/>
    <s v="Isabella"/>
    <s v="F"/>
    <n v="5511988208411"/>
    <s v="Novo"/>
    <s v="Assinado"/>
    <d v="2026-07-11T00:00:00"/>
    <x v="6"/>
  </r>
  <r>
    <d v="2026-07-02T00:00:00"/>
    <d v="2026-07-05T00:00:00"/>
    <d v="2026-07-08T00:00:00"/>
    <s v="REINALDO LUIS DE OLIVEIRA"/>
    <x v="2"/>
    <s v="Isabella"/>
    <s v="F"/>
    <n v="5511983859634"/>
    <s v="Novo"/>
    <s v="Assinado"/>
    <d v="2026-07-11T00:00:00"/>
    <x v="6"/>
  </r>
  <r>
    <d v="2026-07-02T00:00:00"/>
    <d v="2026-07-05T00:00:00"/>
    <d v="2026-07-08T00:00:00"/>
    <s v="DAVI GOMES DO CARMO"/>
    <x v="0"/>
    <s v="John"/>
    <s v="M"/>
    <n v="5511983218094"/>
    <s v="Novo"/>
    <s v="Assinado"/>
    <d v="2026-07-11T00:00:00"/>
    <x v="6"/>
  </r>
  <r>
    <d v="2026-07-02T00:00:00"/>
    <d v="2026-07-05T00:00:00"/>
    <d v="2026-07-08T00:00:00"/>
    <s v="FABIO SOUSA ARRUDA"/>
    <x v="0"/>
    <s v="Jacqueline"/>
    <s v="F"/>
    <n v="5511992403802"/>
    <s v="Novo"/>
    <s v="Assinado"/>
    <d v="2026-07-11T00:00:00"/>
    <x v="6"/>
  </r>
  <r>
    <d v="2026-07-02T00:00:00"/>
    <d v="2026-07-05T00:00:00"/>
    <d v="2026-07-08T00:00:00"/>
    <s v="FRANCISCO ADAILTON DA SILVA"/>
    <x v="0"/>
    <s v="Isabella"/>
    <s v="F"/>
    <n v="5511962729864"/>
    <s v="Novo"/>
    <s v="Assinado"/>
    <d v="2026-07-11T00:00:00"/>
    <x v="6"/>
  </r>
  <r>
    <d v="2026-07-02T00:00:00"/>
    <d v="2026-07-05T00:00:00"/>
    <d v="2026-07-08T00:00:00"/>
    <s v="GISLAINE KATHARYN GONCALVES LEMOS"/>
    <x v="0"/>
    <s v="Jacqueline"/>
    <s v="F"/>
    <n v="5511997091998"/>
    <s v="Novo"/>
    <s v="Cancelado"/>
    <d v="2026-07-11T00:00:00"/>
    <x v="6"/>
  </r>
  <r>
    <d v="2026-07-02T00:00:00"/>
    <d v="2026-07-05T00:00:00"/>
    <d v="2026-07-08T00:00:00"/>
    <s v="EDUARDO MACENA DOS SANTOS"/>
    <x v="1"/>
    <s v="Leticia"/>
    <s v="F"/>
    <n v="5511977617675"/>
    <s v="Novo"/>
    <s v="Na planilha"/>
    <d v="2026-07-11T00:00:00"/>
    <x v="6"/>
  </r>
  <r>
    <d v="2026-07-02T00:00:00"/>
    <d v="2026-07-05T00:00:00"/>
    <d v="2026-07-08T00:00:00"/>
    <s v="SILVANA MARQUETTI SAMPAIO SILVA"/>
    <x v="0"/>
    <s v="Leticia"/>
    <s v="F"/>
    <n v="5511948286748"/>
    <s v="Novo"/>
    <s v="Na planilha"/>
    <d v="2026-07-11T00:00:00"/>
    <x v="6"/>
  </r>
  <r>
    <d v="2026-07-02T00:00:00"/>
    <d v="2026-07-05T00:00:00"/>
    <d v="2026-07-08T00:00:00"/>
    <s v="RANGEL SILVA"/>
    <x v="4"/>
    <s v="Leticia"/>
    <s v="F"/>
    <n v="5561996211765"/>
    <s v="Novo"/>
    <s v="Assinado"/>
    <d v="2026-07-11T00:00:00"/>
    <x v="6"/>
  </r>
  <r>
    <d v="2026-07-03T00:00:00"/>
    <d v="2026-07-06T00:00:00"/>
    <d v="2026-07-09T00:00:00"/>
    <s v="ANDERSON ERNANDES SOUZA SILVA"/>
    <x v="0"/>
    <s v="Isabella"/>
    <s v="F"/>
    <n v="5511984336576"/>
    <s v="Novo"/>
    <s v="Assinado"/>
    <d v="2026-07-12T00:00:00"/>
    <x v="6"/>
  </r>
  <r>
    <d v="2026-07-03T00:00:00"/>
    <d v="2026-07-06T00:00:00"/>
    <d v="2026-07-09T00:00:00"/>
    <s v="MANOEL NARCISO DA PIEDADE FILHO"/>
    <x v="2"/>
    <s v="Jéssica"/>
    <s v="F"/>
    <n v="5511983591504"/>
    <s v="Novo"/>
    <s v="Assinado"/>
    <d v="2026-07-12T00:00:00"/>
    <x v="6"/>
  </r>
  <r>
    <d v="2026-07-03T00:00:00"/>
    <d v="2026-07-06T00:00:00"/>
    <d v="2026-07-09T00:00:00"/>
    <s v="GILBERTO GOMES ALCAIDE"/>
    <x v="2"/>
    <s v="Jéssica"/>
    <s v="F"/>
    <n v="5519998731405"/>
    <s v="Novo"/>
    <s v="Assinado"/>
    <d v="2026-07-12T00:00:00"/>
    <x v="6"/>
  </r>
  <r>
    <d v="2026-07-03T00:00:00"/>
    <d v="2026-07-06T00:00:00"/>
    <d v="2026-07-09T00:00:00"/>
    <s v="MARCOS CESAR PIRES"/>
    <x v="1"/>
    <s v="Jéssica"/>
    <s v="F"/>
    <n v="5511996180679"/>
    <s v="Novo"/>
    <s v="Assinado"/>
    <d v="2026-07-12T00:00:00"/>
    <x v="6"/>
  </r>
  <r>
    <d v="2026-07-03T00:00:00"/>
    <d v="2026-07-06T00:00:00"/>
    <d v="2026-07-09T00:00:00"/>
    <s v="DAVID DE SOUZA ALMEIDA"/>
    <x v="0"/>
    <s v="Jéssica"/>
    <s v="F"/>
    <n v="5511999888556"/>
    <s v="Novo"/>
    <s v="Assinado"/>
    <d v="2026-07-12T00:00:00"/>
    <x v="6"/>
  </r>
  <r>
    <d v="2026-07-03T00:00:00"/>
    <d v="2026-07-06T00:00:00"/>
    <d v="2026-07-09T00:00:00"/>
    <s v="NELSON BERNARDO DE MOURA"/>
    <x v="4"/>
    <s v="Jéssica"/>
    <s v="F"/>
    <n v="5511957748660"/>
    <s v="Novo"/>
    <s v="Assinado"/>
    <d v="2026-07-12T00:00:00"/>
    <x v="6"/>
  </r>
  <r>
    <d v="2026-07-03T00:00:00"/>
    <d v="2026-07-06T00:00:00"/>
    <d v="2026-07-09T00:00:00"/>
    <s v="ALEXSANDRO FERREIRA DO ARTE"/>
    <x v="3"/>
    <s v="Jacqueline"/>
    <s v="F"/>
    <n v="5562991825661"/>
    <s v="Novo"/>
    <s v="Assinado"/>
    <d v="2026-07-12T00:00:00"/>
    <x v="6"/>
  </r>
  <r>
    <d v="2026-07-03T00:00:00"/>
    <d v="2026-07-06T00:00:00"/>
    <d v="2026-07-09T00:00:00"/>
    <s v="LETICIA PEREIRA ROSA"/>
    <x v="0"/>
    <s v="John"/>
    <s v="M"/>
    <n v="5519998790978"/>
    <s v="Novo"/>
    <s v="Na planilha"/>
    <d v="2026-07-12T00:00:00"/>
    <x v="6"/>
  </r>
  <r>
    <d v="2026-07-03T00:00:00"/>
    <d v="2026-07-06T00:00:00"/>
    <d v="2026-07-09T00:00:00"/>
    <s v="RAFAEL LUIZ FERREIRA"/>
    <x v="2"/>
    <s v="John"/>
    <s v="M"/>
    <n v="5511964811853"/>
    <s v="Novo"/>
    <s v="Assinado"/>
    <d v="2026-07-12T00:00:00"/>
    <x v="6"/>
  </r>
  <r>
    <d v="2026-07-03T00:00:00"/>
    <d v="2026-07-06T00:00:00"/>
    <d v="2026-07-09T00:00:00"/>
    <s v="ANDERSON LEANDRO PERO"/>
    <x v="1"/>
    <s v="John"/>
    <s v="M"/>
    <n v="5511945796142"/>
    <s v="Novo"/>
    <s v="Assinado"/>
    <d v="2026-07-12T00:00:00"/>
    <x v="6"/>
  </r>
  <r>
    <d v="2026-07-03T00:00:00"/>
    <d v="2026-07-06T00:00:00"/>
    <d v="2026-07-09T00:00:00"/>
    <s v="LORIS ADRIANO MAXIMINO DE CARVALHO"/>
    <x v="0"/>
    <s v="John"/>
    <s v="M"/>
    <n v="5511996972502"/>
    <s v="Novo"/>
    <s v="Na planilha"/>
    <d v="2026-07-12T00:00:00"/>
    <x v="6"/>
  </r>
  <r>
    <d v="2026-07-03T00:00:00"/>
    <d v="2026-07-06T00:00:00"/>
    <d v="2026-07-09T00:00:00"/>
    <s v="MARCELO NEGREIROS FREITAS"/>
    <x v="2"/>
    <s v="Leticia"/>
    <s v="F"/>
    <n v="5511951413406"/>
    <s v="Novo"/>
    <s v="Assinado"/>
    <d v="2026-07-12T00:00:00"/>
    <x v="6"/>
  </r>
  <r>
    <d v="2026-07-03T00:00:00"/>
    <d v="2026-07-06T00:00:00"/>
    <d v="2026-07-09T00:00:00"/>
    <s v="JOSE SEVERINO DA SILVA"/>
    <x v="0"/>
    <s v="John"/>
    <s v="M"/>
    <n v="5511977579844"/>
    <s v="Novo"/>
    <s v="Assinado"/>
    <d v="2026-07-12T00:00:00"/>
    <x v="6"/>
  </r>
  <r>
    <d v="2026-07-03T00:00:00"/>
    <d v="2026-07-06T00:00:00"/>
    <d v="2026-07-09T00:00:00"/>
    <s v="JHENNER DE OLIVEIRA CARVALHO"/>
    <x v="0"/>
    <s v="John"/>
    <s v="M"/>
    <n v="5511996972502"/>
    <s v="Novo"/>
    <s v="Na planilha"/>
    <d v="2026-07-12T00:00:00"/>
    <x v="6"/>
  </r>
  <r>
    <d v="2026-07-03T00:00:00"/>
    <d v="2026-07-06T00:00:00"/>
    <d v="2026-07-09T00:00:00"/>
    <s v="EDUARDO LUIS OLIBONI BASTOS"/>
    <x v="3"/>
    <s v="John"/>
    <s v="M"/>
    <n v="5511940438881"/>
    <s v="Novo"/>
    <s v="Assinado"/>
    <d v="2026-07-12T00:00:00"/>
    <x v="6"/>
  </r>
  <r>
    <d v="2026-07-06T00:00:00"/>
    <d v="2026-07-09T00:00:00"/>
    <d v="2026-07-12T00:00:00"/>
    <s v="DENISE DE SA MARQUES DOS SANTOS"/>
    <x v="5"/>
    <s v="John"/>
    <s v="M"/>
    <n v="5511971580102"/>
    <s v="Endosso"/>
    <s v="Assinado"/>
    <d v="2026-07-15T00:00:00"/>
    <x v="6"/>
  </r>
  <r>
    <d v="2026-07-06T00:00:00"/>
    <d v="2026-07-09T00:00:00"/>
    <d v="2026-07-12T00:00:00"/>
    <s v="MATEUS RUBEM DA SILVA"/>
    <x v="1"/>
    <s v="Isabella"/>
    <s v="F"/>
    <n v="5511994381750"/>
    <s v="Novo"/>
    <s v="Assinado"/>
    <d v="2026-07-15T00:00:00"/>
    <x v="6"/>
  </r>
  <r>
    <d v="2026-07-06T00:00:00"/>
    <d v="2026-07-09T00:00:00"/>
    <d v="2026-07-12T00:00:00"/>
    <s v="SIMONE RAMOS FERNANDES"/>
    <x v="0"/>
    <s v="Leticia"/>
    <s v="F"/>
    <n v="5511947638569"/>
    <s v="Novo"/>
    <s v="Assinado"/>
    <d v="2026-07-15T00:00:00"/>
    <x v="6"/>
  </r>
  <r>
    <d v="2026-07-06T00:00:00"/>
    <d v="2026-07-09T00:00:00"/>
    <d v="2026-07-12T00:00:00"/>
    <s v="NAIANE CRISTINE ESTEVAM DA SILVA"/>
    <x v="0"/>
    <s v="Isabella"/>
    <s v="F"/>
    <n v="5511985151847"/>
    <s v="Novo"/>
    <s v="Assinado"/>
    <d v="2026-07-15T00:00:00"/>
    <x v="6"/>
  </r>
  <r>
    <d v="2026-07-06T00:00:00"/>
    <d v="2026-07-09T00:00:00"/>
    <d v="2026-07-12T00:00:00"/>
    <s v="ISABELLA SERRA SOUZA"/>
    <x v="1"/>
    <s v="Pamela"/>
    <s v="F"/>
    <n v="5511944466013"/>
    <s v="Novo"/>
    <s v="Assinado"/>
    <d v="2026-07-15T00:00:00"/>
    <x v="6"/>
  </r>
  <r>
    <d v="2026-07-06T00:00:00"/>
    <d v="2026-07-09T00:00:00"/>
    <d v="2026-07-12T00:00:00"/>
    <s v="LUIZ CARLOS ZEN"/>
    <x v="0"/>
    <s v="Isabella"/>
    <s v="F"/>
    <n v="5519997306207"/>
    <s v="Novo"/>
    <s v="Assinado"/>
    <d v="2026-07-15T00:00:00"/>
    <x v="6"/>
  </r>
  <r>
    <d v="2026-07-07T00:00:00"/>
    <d v="2026-07-10T00:00:00"/>
    <d v="2026-07-13T00:00:00"/>
    <s v="LEANDRO FERRAREZI"/>
    <x v="0"/>
    <s v="Myrelle"/>
    <s v="F"/>
    <n v="5514998116483"/>
    <s v="Novo"/>
    <s v="Assinado"/>
    <d v="2026-07-16T00:00:00"/>
    <x v="6"/>
  </r>
  <r>
    <d v="2026-07-07T00:00:00"/>
    <d v="2026-07-10T00:00:00"/>
    <d v="2026-07-13T00:00:00"/>
    <s v="JOSE ROBERTO POSTIGO"/>
    <x v="0"/>
    <s v="Leticia"/>
    <s v="F"/>
    <n v="5519994685125"/>
    <s v="Novo"/>
    <s v="Assinado"/>
    <d v="2026-07-16T00:00:00"/>
    <x v="6"/>
  </r>
  <r>
    <d v="2026-07-07T00:00:00"/>
    <d v="2026-07-10T00:00:00"/>
    <d v="2026-07-13T00:00:00"/>
    <s v="FABIO DA SILVA PIMENTEL"/>
    <x v="2"/>
    <s v="John"/>
    <s v="M"/>
    <n v="5511961479027"/>
    <s v="Endosso"/>
    <s v="Erro"/>
    <d v="2026-07-16T00:00:00"/>
    <x v="6"/>
  </r>
  <r>
    <d v="2026-07-07T00:00:00"/>
    <d v="2026-07-10T00:00:00"/>
    <d v="2026-07-13T00:00:00"/>
    <s v="JOSE GERALDO DA SILVA"/>
    <x v="2"/>
    <s v="John"/>
    <s v="M"/>
    <n v="5511983866617"/>
    <s v="Endosso"/>
    <s v="Assinado"/>
    <d v="2026-07-16T00:00:00"/>
    <x v="6"/>
  </r>
  <r>
    <d v="2026-07-07T00:00:00"/>
    <d v="2026-07-10T00:00:00"/>
    <d v="2026-07-13T00:00:00"/>
    <s v="FABIANO FERNANDES CARREIRO"/>
    <x v="1"/>
    <s v="Jéssica"/>
    <s v="F"/>
    <n v="5511963551676"/>
    <s v="Novo"/>
    <s v="Na planilha"/>
    <d v="2026-07-16T00:00:00"/>
    <x v="6"/>
  </r>
  <r>
    <d v="2026-07-07T00:00:00"/>
    <d v="2026-07-10T00:00:00"/>
    <d v="2026-07-13T00:00:00"/>
    <s v="JOSE ROBERTO LEMES LEITE SOARES JUNIOR"/>
    <x v="2"/>
    <s v="Jéssica"/>
    <s v="F"/>
    <n v="5518996604889"/>
    <s v="Novo"/>
    <s v="Na planilha"/>
    <d v="2026-07-16T00:00:00"/>
    <x v="6"/>
  </r>
  <r>
    <d v="2026-07-07T00:00:00"/>
    <d v="2026-07-10T00:00:00"/>
    <d v="2026-07-13T00:00:00"/>
    <s v="WALLACE RODRIGO DA SILVA"/>
    <x v="2"/>
    <s v="Jéssica"/>
    <s v="F"/>
    <n v="5511947392735"/>
    <s v="Novo"/>
    <s v="Assinado"/>
    <d v="2026-07-16T00:00:00"/>
    <x v="6"/>
  </r>
  <r>
    <d v="2026-07-07T00:00:00"/>
    <d v="2026-07-10T00:00:00"/>
    <d v="2026-07-13T00:00:00"/>
    <s v="SIMONE MARIA DO NASCIMENTO SILVA"/>
    <x v="0"/>
    <s v="Leticia"/>
    <s v="F"/>
    <n v="5511999690887"/>
    <s v="Novo"/>
    <s v="Assinado"/>
    <d v="2026-07-16T00:00:00"/>
    <x v="6"/>
  </r>
  <r>
    <d v="2026-07-07T00:00:00"/>
    <d v="2026-07-10T00:00:00"/>
    <d v="2026-07-13T00:00:00"/>
    <s v="OLIVIO DANIEL FERRARI"/>
    <x v="0"/>
    <s v="Jéssica"/>
    <s v="F"/>
    <n v="5516999638941"/>
    <s v="Novo"/>
    <s v="Assinado"/>
    <d v="2026-07-16T00:00:00"/>
    <x v="6"/>
  </r>
  <r>
    <d v="2026-07-07T00:00:00"/>
    <d v="2026-07-10T00:00:00"/>
    <d v="2026-07-13T00:00:00"/>
    <s v="MARCOS ANTONIO DA SILVA"/>
    <x v="2"/>
    <s v="Isabella"/>
    <s v="F"/>
    <n v="5511949187077"/>
    <s v="Novo"/>
    <s v="Assinado"/>
    <d v="2026-07-16T00:00:00"/>
    <x v="6"/>
  </r>
  <r>
    <d v="2026-07-07T00:00:00"/>
    <d v="2026-07-10T00:00:00"/>
    <d v="2026-07-13T00:00:00"/>
    <s v="SANDRO ELIAS VIEIRA PINTO"/>
    <x v="1"/>
    <s v="Isabella"/>
    <s v="F"/>
    <n v="5515991256471"/>
    <s v="Novo"/>
    <s v="Na planilha"/>
    <d v="2026-07-16T00:00:00"/>
    <x v="6"/>
  </r>
  <r>
    <d v="2026-07-07T00:00:00"/>
    <d v="2026-07-10T00:00:00"/>
    <d v="2026-07-13T00:00:00"/>
    <s v="IVANILDO LOPES DE OLIVEIRA"/>
    <x v="0"/>
    <s v="Isabella"/>
    <s v="F"/>
    <n v="5511950396436"/>
    <s v="Novo"/>
    <s v="Assinado"/>
    <d v="2026-07-16T00:00:00"/>
    <x v="6"/>
  </r>
  <r>
    <d v="2026-07-08T00:00:00"/>
    <d v="2026-07-11T00:00:00"/>
    <d v="2026-07-14T00:00:00"/>
    <s v="MILTON PASCOAL DE OLIVEIRA"/>
    <x v="0"/>
    <s v="John"/>
    <s v="M"/>
    <n v="5511981925367"/>
    <s v="Renovação"/>
    <s v="Assinado"/>
    <d v="2026-07-17T00:00:00"/>
    <x v="6"/>
  </r>
  <r>
    <d v="2026-07-08T00:00:00"/>
    <d v="2026-07-11T00:00:00"/>
    <d v="2026-07-14T00:00:00"/>
    <s v="ISRAEL MAMEDE PEREIRA"/>
    <x v="1"/>
    <s v="John"/>
    <s v="M"/>
    <n v="5511950943013"/>
    <s v="Renovação"/>
    <s v="Na planilha"/>
    <d v="2026-07-17T00:00:00"/>
    <x v="6"/>
  </r>
  <r>
    <d v="2026-07-08T00:00:00"/>
    <d v="2026-07-11T00:00:00"/>
    <d v="2026-07-14T00:00:00"/>
    <s v="GILMARA APARECIDA GODINHO"/>
    <x v="0"/>
    <s v="John"/>
    <s v="M"/>
    <n v="5515996474400"/>
    <s v="Novo"/>
    <s v="Na planilha"/>
    <d v="2026-07-17T00:00:00"/>
    <x v="6"/>
  </r>
  <r>
    <d v="2026-07-08T00:00:00"/>
    <d v="2026-07-11T00:00:00"/>
    <d v="2026-07-14T00:00:00"/>
    <s v="EDSON DIAS DE SIQUEIRA"/>
    <x v="0"/>
    <s v="John"/>
    <s v="M"/>
    <n v="5511949164146"/>
    <s v="Novo"/>
    <s v="Assinado"/>
    <d v="2026-07-17T00:00:00"/>
    <x v="6"/>
  </r>
  <r>
    <d v="2026-07-08T00:00:00"/>
    <d v="2026-07-11T00:00:00"/>
    <d v="2026-07-14T00:00:00"/>
    <s v="JOSE ROBERTO RIOS"/>
    <x v="2"/>
    <s v="John"/>
    <s v="M"/>
    <n v="5511981485921"/>
    <s v="Renovação"/>
    <s v="Assinado"/>
    <d v="2026-07-17T00:00:00"/>
    <x v="6"/>
  </r>
  <r>
    <d v="2026-07-08T00:00:00"/>
    <d v="2026-07-11T00:00:00"/>
    <d v="2026-07-14T00:00:00"/>
    <s v="BEATRIZ BELLINI BATISTELLI"/>
    <x v="0"/>
    <s v="John"/>
    <s v="M"/>
    <n v="5511949858586"/>
    <s v="Novo"/>
    <s v="Assinado"/>
    <d v="2026-07-17T00:00:00"/>
    <x v="6"/>
  </r>
  <r>
    <d v="2026-07-08T00:00:00"/>
    <d v="2026-07-11T00:00:00"/>
    <d v="2026-07-14T00:00:00"/>
    <s v="PAULO ROBERTO MORAES DA"/>
    <x v="4"/>
    <s v="Myrelle"/>
    <s v="F"/>
    <n v="5519982025248"/>
    <s v="Novo"/>
    <s v="Cancelado"/>
    <d v="2026-07-17T00:00:00"/>
    <x v="6"/>
  </r>
  <r>
    <d v="2026-07-08T00:00:00"/>
    <d v="2026-07-11T00:00:00"/>
    <d v="2026-07-14T00:00:00"/>
    <s v="GILVAN MARIANO DOS SANTOS"/>
    <x v="3"/>
    <s v="John"/>
    <s v="M"/>
    <n v="5511912498042"/>
    <s v="Novo"/>
    <s v="Assinado"/>
    <d v="2026-07-17T00:00:00"/>
    <x v="6"/>
  </r>
  <r>
    <d v="2026-07-08T00:00:00"/>
    <d v="2026-07-11T00:00:00"/>
    <d v="2026-07-14T00:00:00"/>
    <s v="DOMINGOS SABINO RAMOS"/>
    <x v="2"/>
    <s v="John"/>
    <s v="M"/>
    <n v="5511941547044"/>
    <s v="Novo"/>
    <s v="Assinado"/>
    <d v="2026-07-17T00:00:00"/>
    <x v="6"/>
  </r>
  <r>
    <d v="2026-07-08T00:00:00"/>
    <d v="2026-07-11T00:00:00"/>
    <d v="2026-07-14T00:00:00"/>
    <s v="EDGAR ENOQUE DOS SANTOS"/>
    <x v="2"/>
    <s v="Leticia"/>
    <s v="F"/>
    <n v="5511984459567"/>
    <s v="Novo"/>
    <s v="Na planilha"/>
    <d v="2026-07-17T00:00:00"/>
    <x v="6"/>
  </r>
  <r>
    <d v="2026-07-08T00:00:00"/>
    <d v="2026-07-11T00:00:00"/>
    <d v="2026-07-14T00:00:00"/>
    <s v="NAIARA ALVES DE PINHO BRAGA SOARES"/>
    <x v="0"/>
    <s v="Isabella"/>
    <s v="F"/>
    <n v="5531994589662"/>
    <s v="Novo"/>
    <s v="Assinado"/>
    <d v="2026-07-17T00:00:00"/>
    <x v="6"/>
  </r>
  <r>
    <d v="2026-07-08T00:00:00"/>
    <d v="2026-07-11T00:00:00"/>
    <d v="2026-07-14T00:00:00"/>
    <s v="ALMIR JOSE MIGUEL"/>
    <x v="3"/>
    <s v="Myrelle"/>
    <s v="F"/>
    <n v="5511945571535"/>
    <s v="Novo"/>
    <s v="Cancelado"/>
    <d v="2026-07-17T00:00:00"/>
    <x v="6"/>
  </r>
  <r>
    <d v="2026-07-08T00:00:00"/>
    <d v="2026-07-11T00:00:00"/>
    <d v="2026-07-14T00:00:00"/>
    <s v="BRUNA VIEIRA SILVA"/>
    <x v="0"/>
    <s v="John"/>
    <s v="M"/>
    <n v="5511996575985"/>
    <s v="Novo"/>
    <s v="Assinado"/>
    <d v="2026-07-17T00:00:00"/>
    <x v="6"/>
  </r>
  <r>
    <d v="2026-07-08T00:00:00"/>
    <d v="2026-07-11T00:00:00"/>
    <d v="2026-07-14T00:00:00"/>
    <s v="CINTIA CARLA DOS SANTOS"/>
    <x v="1"/>
    <s v="John"/>
    <s v="M"/>
    <n v="5511950266874"/>
    <s v="Novo"/>
    <s v="Erro"/>
    <d v="2026-07-17T00:00:00"/>
    <x v="6"/>
  </r>
  <r>
    <d v="2026-07-08T00:00:00"/>
    <d v="2026-07-11T00:00:00"/>
    <d v="2026-07-14T00:00:00"/>
    <s v="FRANCINY NOGUEIRA CAMARA DE FREITAS"/>
    <x v="1"/>
    <s v="John"/>
    <s v="M"/>
    <n v="5513991632030"/>
    <s v="Renovação"/>
    <s v="Na planilha"/>
    <d v="2026-07-17T00:00:00"/>
    <x v="6"/>
  </r>
  <r>
    <d v="2026-07-13T00:00:00"/>
    <d v="2026-07-16T00:00:00"/>
    <d v="2026-07-19T00:00:00"/>
    <s v="NEY MATTOS FERREIRA NETO"/>
    <x v="5"/>
    <s v="John"/>
    <s v="M"/>
    <n v="5512996346994"/>
    <s v="Renovação"/>
    <s v="Assinado"/>
    <d v="2026-07-22T00:00:00"/>
    <x v="6"/>
  </r>
  <r>
    <d v="2026-07-13T00:00:00"/>
    <d v="2026-07-16T00:00:00"/>
    <d v="2026-07-19T00:00:00"/>
    <s v="MARCIO HENRIQUE DE MORAIS"/>
    <x v="2"/>
    <s v="John"/>
    <s v="M"/>
    <n v="5535984731727"/>
    <s v="Renovação"/>
    <s v="Assinado"/>
    <d v="2026-07-22T00:00:00"/>
    <x v="6"/>
  </r>
  <r>
    <d v="2026-07-13T00:00:00"/>
    <d v="2026-07-16T00:00:00"/>
    <d v="2026-07-19T00:00:00"/>
    <s v="ANDRE MIRANDA VIEIRA"/>
    <x v="3"/>
    <s v="John"/>
    <s v="M"/>
    <n v="5511941010819"/>
    <s v="Renovação"/>
    <s v="Assinado"/>
    <d v="2026-07-22T00:00:00"/>
    <x v="6"/>
  </r>
  <r>
    <d v="2026-07-13T00:00:00"/>
    <d v="2026-07-16T00:00:00"/>
    <d v="2026-07-19T00:00:00"/>
    <s v="JOSE AILTON DA SILVA"/>
    <x v="1"/>
    <s v="John"/>
    <s v="M"/>
    <n v="5511984015073"/>
    <s v="Renovação"/>
    <s v="Assinado"/>
    <d v="2026-07-22T00:00:00"/>
    <x v="6"/>
  </r>
  <r>
    <d v="2026-07-13T00:00:00"/>
    <d v="2026-07-16T00:00:00"/>
    <d v="2026-07-19T00:00:00"/>
    <s v="KELLY CRISTINA BARBARA DA SILVA"/>
    <x v="0"/>
    <s v="John"/>
    <s v="M"/>
    <n v="5512992432294"/>
    <s v="Novo"/>
    <s v="Assinado"/>
    <d v="2026-07-22T00:00:00"/>
    <x v="6"/>
  </r>
  <r>
    <d v="2026-07-13T00:00:00"/>
    <d v="2026-07-16T00:00:00"/>
    <d v="2026-07-19T00:00:00"/>
    <s v="JOAQUIM AFFONSO DOS SANTOS"/>
    <x v="0"/>
    <s v="John"/>
    <s v="M"/>
    <n v="5516997304386"/>
    <s v="Renovação"/>
    <s v="Assinado"/>
    <d v="2026-07-22T00:00:00"/>
    <x v="6"/>
  </r>
  <r>
    <d v="2026-07-13T00:00:00"/>
    <d v="2026-07-16T00:00:00"/>
    <d v="2026-07-19T00:00:00"/>
    <s v="CLAUDIOMIR BRUCK"/>
    <x v="5"/>
    <s v="John"/>
    <s v="M"/>
    <n v="5511960332183"/>
    <s v="Novo"/>
    <s v="Assinado"/>
    <d v="2026-07-22T00:00:00"/>
    <x v="6"/>
  </r>
  <r>
    <d v="2026-07-13T00:00:00"/>
    <d v="2026-07-16T00:00:00"/>
    <d v="2026-07-19T00:00:00"/>
    <s v="JOSE EDENILSON SILVA DOS SANTOS"/>
    <x v="1"/>
    <s v="Isabella"/>
    <s v="F"/>
    <n v="5511959643712"/>
    <s v="Novo"/>
    <s v="Na planilha"/>
    <d v="2026-07-22T00:00:00"/>
    <x v="6"/>
  </r>
  <r>
    <d v="2026-07-13T00:00:00"/>
    <d v="2026-07-16T00:00:00"/>
    <d v="2026-07-19T00:00:00"/>
    <s v="DANILO SANTOS ALMEIDA"/>
    <x v="0"/>
    <s v="Jacqueline"/>
    <s v="F"/>
    <n v="5516993549707"/>
    <s v="Novo"/>
    <s v="Assinado"/>
    <d v="2026-07-22T00:00:00"/>
    <x v="6"/>
  </r>
  <r>
    <d v="2026-07-13T00:00:00"/>
    <d v="2026-07-16T00:00:00"/>
    <d v="2026-07-19T00:00:00"/>
    <s v="LETICIA TERRA ROSA"/>
    <x v="1"/>
    <s v="Jacqueline"/>
    <s v="F"/>
    <n v="5551981149069"/>
    <s v="Novo"/>
    <s v="Assinado"/>
    <d v="2026-07-22T00:00:00"/>
    <x v="6"/>
  </r>
  <r>
    <d v="2026-07-13T00:00:00"/>
    <d v="2026-07-16T00:00:00"/>
    <d v="2026-07-19T00:00:00"/>
    <s v="DANIEL SANTIAGO SOTERO"/>
    <x v="5"/>
    <s v="Leticia"/>
    <s v="F"/>
    <n v="5511983959193"/>
    <s v="Novo"/>
    <s v="Na planilha"/>
    <d v="2026-07-22T00:00:00"/>
    <x v="6"/>
  </r>
  <r>
    <d v="2026-07-13T00:00:00"/>
    <d v="2026-07-16T00:00:00"/>
    <d v="2026-07-19T00:00:00"/>
    <s v="VICTOR ALONSO ROTTA"/>
    <x v="2"/>
    <s v="Leticia"/>
    <s v="F"/>
    <n v="5511970757225"/>
    <s v="Novo"/>
    <s v="Assinado"/>
    <d v="2026-07-22T00:00:00"/>
    <x v="6"/>
  </r>
  <r>
    <d v="2026-07-13T00:00:00"/>
    <d v="2026-07-16T00:00:00"/>
    <d v="2026-07-19T00:00:00"/>
    <s v="REINIVALDO SILVA DOS SANTOS"/>
    <x v="1"/>
    <s v="Myrelle"/>
    <s v="F"/>
    <n v="5511976043536"/>
    <s v="Novo"/>
    <s v="Cancelado"/>
    <d v="2026-07-22T00:00:00"/>
    <x v="6"/>
  </r>
  <r>
    <d v="2026-07-13T00:00:00"/>
    <d v="2026-07-16T00:00:00"/>
    <d v="2026-07-19T00:00:00"/>
    <s v="RODRIGO DE ANDRADE DA SILVA"/>
    <x v="1"/>
    <s v="Jéssica"/>
    <s v="F"/>
    <n v="5519998320527"/>
    <s v="Novo"/>
    <s v="Assinado"/>
    <d v="2026-07-22T00:00:00"/>
    <x v="6"/>
  </r>
  <r>
    <d v="2026-07-13T00:00:00"/>
    <d v="2026-07-16T00:00:00"/>
    <d v="2026-07-19T00:00:00"/>
    <s v="EDSON DOS REIS"/>
    <x v="0"/>
    <s v="John"/>
    <s v="M"/>
    <n v="5511986929159"/>
    <s v="Novo"/>
    <s v="Assinado(manual)"/>
    <d v="2026-07-22T00:00:00"/>
    <x v="6"/>
  </r>
  <r>
    <d v="2026-07-13T00:00:00"/>
    <d v="2026-07-16T00:00:00"/>
    <d v="2026-07-19T00:00:00"/>
    <s v="HENRIQUE FELIX DA SILVA VIANA"/>
    <x v="0"/>
    <s v="Jacqueline"/>
    <s v="F"/>
    <n v="5511961176167"/>
    <s v="Novo"/>
    <s v="Assinado"/>
    <d v="2026-07-22T00:00:00"/>
    <x v="6"/>
  </r>
  <r>
    <d v="2026-07-13T00:00:00"/>
    <d v="2026-07-16T00:00:00"/>
    <d v="2026-07-19T00:00:00"/>
    <s v="KATHERYNE RIBEIRO VIEIRA"/>
    <x v="0"/>
    <s v="Jacqueline"/>
    <s v="F"/>
    <n v="5581983306991"/>
    <s v="Novo"/>
    <s v="Na planilha"/>
    <d v="2026-07-22T00:00:00"/>
    <x v="6"/>
  </r>
  <r>
    <d v="2026-07-13T00:00:00"/>
    <d v="2026-07-16T00:00:00"/>
    <d v="2026-07-19T00:00:00"/>
    <s v="TAINA SILVA FONSECA TRINDADE"/>
    <x v="0"/>
    <s v="Jacqueline"/>
    <s v="F"/>
    <n v="5511951997699"/>
    <s v="Novo"/>
    <s v="Assinado"/>
    <d v="2026-07-22T00:00:00"/>
    <x v="6"/>
  </r>
  <r>
    <d v="2026-07-13T00:00:00"/>
    <d v="2026-07-16T00:00:00"/>
    <d v="2026-07-19T00:00:00"/>
    <s v="RICHARD FELIPE DE OLIVEIRA LOPES"/>
    <x v="0"/>
    <s v="Jacqueline"/>
    <s v="F"/>
    <n v="5516981102432"/>
    <s v="Novo"/>
    <s v="Na planilha"/>
    <d v="2026-07-22T00:00:00"/>
    <x v="6"/>
  </r>
  <r>
    <d v="2026-07-14T00:00:00"/>
    <d v="2026-07-17T00:00:00"/>
    <d v="2026-07-20T00:00:00"/>
    <s v="JARBAS MARTINS BATISTA"/>
    <x v="1"/>
    <s v="Leticia"/>
    <s v="F"/>
    <n v="5511913413739"/>
    <s v="Novo"/>
    <s v="Assinado"/>
    <d v="2026-07-23T00:00:00"/>
    <x v="6"/>
  </r>
  <r>
    <d v="2026-07-14T00:00:00"/>
    <d v="2026-07-17T00:00:00"/>
    <d v="2026-07-20T00:00:00"/>
    <s v="ADRIANO ANDRE DA SILVA"/>
    <x v="1"/>
    <s v="Leticia"/>
    <s v="F"/>
    <n v="5511985819600"/>
    <s v="Novo"/>
    <s v="Assinado"/>
    <d v="2026-07-23T00:00:00"/>
    <x v="6"/>
  </r>
  <r>
    <d v="2026-07-14T00:00:00"/>
    <d v="2026-07-17T00:00:00"/>
    <d v="2026-07-20T00:00:00"/>
    <s v="EUSTAQUIO RIBEIRO DE MELO"/>
    <x v="1"/>
    <s v="Jacqueline"/>
    <s v="F"/>
    <n v="5511973455096"/>
    <s v="Novo"/>
    <s v="Assinado"/>
    <d v="2026-07-23T00:00:00"/>
    <x v="6"/>
  </r>
  <r>
    <d v="2026-07-14T00:00:00"/>
    <d v="2026-07-17T00:00:00"/>
    <d v="2026-07-20T00:00:00"/>
    <s v="JERCIONE GOMES"/>
    <x v="0"/>
    <s v="Myrelle"/>
    <s v="F"/>
    <n v="5511961403707"/>
    <s v="Novo"/>
    <s v="Assinado"/>
    <d v="2026-07-23T00:00:00"/>
    <x v="6"/>
  </r>
  <r>
    <d v="2026-07-14T00:00:00"/>
    <d v="2026-07-17T00:00:00"/>
    <d v="2026-07-20T00:00:00"/>
    <s v="SIDNEI DE PAULA OLIVEIRA"/>
    <x v="9"/>
    <s v="Jacqueline"/>
    <s v="F"/>
    <n v="5511992735148"/>
    <s v="Novo"/>
    <s v="Assinado"/>
    <d v="2026-07-23T00:00:00"/>
    <x v="6"/>
  </r>
  <r>
    <d v="2026-07-14T00:00:00"/>
    <d v="2026-07-17T00:00:00"/>
    <d v="2026-07-20T00:00:00"/>
    <s v="VALDECI RODRIGUES BRAGA JUNIOR"/>
    <x v="0"/>
    <s v="Leticia"/>
    <s v="F"/>
    <n v="5511994973625"/>
    <s v="Novo"/>
    <s v="Assinado"/>
    <d v="2026-07-23T00:00:00"/>
    <x v="6"/>
  </r>
  <r>
    <d v="2026-07-15T00:00:00"/>
    <d v="2026-07-18T00:00:00"/>
    <d v="2026-07-21T00:00:00"/>
    <s v="THIAGO MARTINS DE SOUSA"/>
    <x v="1"/>
    <s v="John"/>
    <s v="M"/>
    <n v="5511985274546"/>
    <s v="Renovação"/>
    <s v="Assinado"/>
    <d v="2026-07-24T00:00:00"/>
    <x v="6"/>
  </r>
  <r>
    <d v="2026-07-15T00:00:00"/>
    <d v="2026-07-18T00:00:00"/>
    <d v="2026-07-21T00:00:00"/>
    <s v="RAPHAEL LIMA GROPO"/>
    <x v="0"/>
    <s v="John"/>
    <s v="M"/>
    <n v="5511998822558"/>
    <s v="Renovação"/>
    <s v="Assinado"/>
    <d v="2026-07-24T00:00:00"/>
    <x v="6"/>
  </r>
  <r>
    <d v="2026-07-15T00:00:00"/>
    <d v="2026-07-18T00:00:00"/>
    <d v="2026-07-21T00:00:00"/>
    <s v="THALITA APARECIDA CAMARA DE FREITAS"/>
    <x v="3"/>
    <s v="John"/>
    <s v="M"/>
    <n v="5513991050130"/>
    <s v="Renovação"/>
    <s v="Assinado"/>
    <d v="2026-07-24T00:00:00"/>
    <x v="6"/>
  </r>
  <r>
    <d v="2026-07-15T00:00:00"/>
    <d v="2026-07-18T00:00:00"/>
    <d v="2026-07-21T00:00:00"/>
    <s v="CRISLAINE PEREIRA DE SOUZA"/>
    <x v="0"/>
    <s v="John"/>
    <s v="M"/>
    <n v="5511966443383"/>
    <s v="Renovação"/>
    <s v="Assinado"/>
    <d v="2026-07-24T00:00:00"/>
    <x v="6"/>
  </r>
  <r>
    <d v="2026-07-15T00:00:00"/>
    <d v="2026-07-18T00:00:00"/>
    <d v="2026-07-21T00:00:00"/>
    <s v="ALESSANDRO ADAO DE ANDRADE"/>
    <x v="0"/>
    <s v="Jéssica"/>
    <s v="F"/>
    <n v="5511975238228"/>
    <s v="Novo"/>
    <s v="Assinado"/>
    <d v="2026-07-24T00:00:00"/>
    <x v="6"/>
  </r>
  <r>
    <d v="2026-07-15T00:00:00"/>
    <d v="2026-07-18T00:00:00"/>
    <d v="2026-07-21T00:00:00"/>
    <s v="LUCIANA BORGES CARVALHO"/>
    <x v="4"/>
    <s v="Jéssica"/>
    <s v="F"/>
    <n v="5516993111120"/>
    <s v="Novo"/>
    <s v="Assinado"/>
    <d v="2026-07-24T00:00:00"/>
    <x v="6"/>
  </r>
  <r>
    <d v="2026-07-15T00:00:00"/>
    <d v="2026-07-18T00:00:00"/>
    <d v="2026-07-21T00:00:00"/>
    <s v="AGNALDO RIBEIRO DOS SANTOS"/>
    <x v="1"/>
    <s v="John"/>
    <s v="M"/>
    <n v="5511968265958"/>
    <s v="Novo"/>
    <s v="Assinado"/>
    <d v="2026-07-24T00:00:00"/>
    <x v="6"/>
  </r>
  <r>
    <d v="2026-07-15T00:00:00"/>
    <d v="2026-07-18T00:00:00"/>
    <d v="2026-07-21T00:00:00"/>
    <s v="SANDRO ROBERTO DE PONTES CAMPOS"/>
    <x v="2"/>
    <s v="John"/>
    <s v="M"/>
    <n v="5515991739195"/>
    <s v="Renovação"/>
    <s v="Assinado"/>
    <d v="2026-07-24T00:00:00"/>
    <x v="6"/>
  </r>
  <r>
    <d v="2026-07-15T00:00:00"/>
    <d v="2026-07-18T00:00:00"/>
    <d v="2026-07-21T00:00:00"/>
    <s v="FRANCISCO GADELHA MAIA"/>
    <x v="2"/>
    <s v="Isabella"/>
    <s v="F"/>
    <n v="5519981034595"/>
    <s v="Novo"/>
    <s v="Erro"/>
    <d v="2026-07-24T00:00:00"/>
    <x v="6"/>
  </r>
  <r>
    <d v="2026-07-15T00:00:00"/>
    <d v="2026-07-18T00:00:00"/>
    <d v="2026-07-21T00:00:00"/>
    <s v="ALEANDRO MARTINS ADRIAN DA COSTA"/>
    <x v="2"/>
    <s v="Jacqueline"/>
    <s v="F"/>
    <n v="5511984928311"/>
    <s v="Novo"/>
    <s v="Assinado"/>
    <d v="2026-07-24T00:00:00"/>
    <x v="6"/>
  </r>
  <r>
    <d v="2026-07-16T00:00:00"/>
    <d v="2026-07-19T00:00:00"/>
    <d v="2026-07-22T00:00:00"/>
    <s v="MARIA FERNANDA DE CAMARGO"/>
    <x v="4"/>
    <s v="Jéssica"/>
    <s v="F"/>
    <n v="5511975238228"/>
    <s v="Novo"/>
    <s v="Cancelado"/>
    <d v="2026-07-25T00:00:00"/>
    <x v="6"/>
  </r>
  <r>
    <d v="2026-07-16T00:00:00"/>
    <d v="2026-07-19T00:00:00"/>
    <d v="2026-07-22T00:00:00"/>
    <s v="ANSELMO LUIZ MAIA CHAVES"/>
    <x v="2"/>
    <s v="Leticia"/>
    <s v="F"/>
    <n v="5521996338552"/>
    <s v="Novo"/>
    <s v="Assinado"/>
    <d v="2026-07-25T00:00:00"/>
    <x v="6"/>
  </r>
  <r>
    <d v="2026-07-16T00:00:00"/>
    <d v="2026-07-19T00:00:00"/>
    <d v="2026-07-22T00:00:00"/>
    <s v="JESSE PINHEIRO DA COSTA JUNIOR"/>
    <x v="1"/>
    <s v="Leticia"/>
    <s v="F"/>
    <n v="5513991767659"/>
    <s v="Novo"/>
    <s v="Assinado"/>
    <d v="2026-07-25T00:00:00"/>
    <x v="6"/>
  </r>
  <r>
    <d v="2026-07-17T00:00:00"/>
    <d v="2026-07-20T00:00:00"/>
    <d v="2026-07-23T00:00:00"/>
    <s v="LUCMANN NORE"/>
    <x v="2"/>
    <s v="Myrelle"/>
    <s v="F"/>
    <n v="5511987854819"/>
    <s v="Novo"/>
    <s v="Assinado"/>
    <d v="2026-07-26T00:00:00"/>
    <x v="6"/>
  </r>
  <r>
    <d v="2026-07-17T00:00:00"/>
    <d v="2026-07-20T00:00:00"/>
    <d v="2026-07-23T00:00:00"/>
    <s v="CLAUDIA BUENO GAETA"/>
    <x v="3"/>
    <s v="John"/>
    <s v="M"/>
    <n v="5511996249148"/>
    <s v="Novo"/>
    <s v="Assinado(manual)"/>
    <d v="2026-07-26T00:00:00"/>
    <x v="6"/>
  </r>
  <r>
    <d v="2026-07-17T00:00:00"/>
    <d v="2026-07-20T00:00:00"/>
    <d v="2026-07-23T00:00:00"/>
    <s v="WELLINGTON CAMILLO SANTOS_x000a_"/>
    <x v="1"/>
    <s v="Jéssica"/>
    <s v="F"/>
    <n v="5511911666621"/>
    <s v="Novo"/>
    <s v="Assinado"/>
    <d v="2026-07-26T00:00:00"/>
    <x v="6"/>
  </r>
  <r>
    <d v="2026-07-17T00:00:00"/>
    <d v="2026-07-20T00:00:00"/>
    <d v="2026-07-23T00:00:00"/>
    <s v="PAULO ZALEM JUNIOR"/>
    <x v="2"/>
    <s v="Leticia"/>
    <s v="F"/>
    <n v="5511994981557"/>
    <s v="Novo"/>
    <s v="Assinado"/>
    <d v="2026-07-26T00:00:00"/>
    <x v="6"/>
  </r>
  <r>
    <d v="2026-07-20T00:00:00"/>
    <d v="2026-07-23T00:00:00"/>
    <d v="2026-07-26T00:00:00"/>
    <s v="JOYCE APARECIDA GONCALVES BARBOSA"/>
    <x v="0"/>
    <s v="Jéssica"/>
    <s v="F"/>
    <n v="5511940089314"/>
    <s v="Novo"/>
    <s v="Assinado"/>
    <d v="2026-07-29T00:00:00"/>
    <x v="6"/>
  </r>
  <r>
    <d v="2026-07-20T00:00:00"/>
    <d v="2026-07-23T00:00:00"/>
    <d v="2026-07-26T00:00:00"/>
    <s v="MARCIO CLEITON GOMES DE OLIVEIRA"/>
    <x v="9"/>
    <s v="Jacqueline"/>
    <s v="F"/>
    <n v="5579999191081"/>
    <s v="Novo"/>
    <s v="Assinado"/>
    <d v="2026-07-29T00:00:00"/>
    <x v="6"/>
  </r>
  <r>
    <d v="2026-07-20T00:00:00"/>
    <d v="2026-07-23T00:00:00"/>
    <d v="2026-07-26T00:00:00"/>
    <s v="ELLEN ANDRADE DE OLIVEIRA"/>
    <x v="0"/>
    <s v="Jacqueline"/>
    <s v="F"/>
    <n v="5511952146088"/>
    <s v="Novo"/>
    <s v="Assinado"/>
    <d v="2026-07-29T00:00:00"/>
    <x v="6"/>
  </r>
  <r>
    <d v="2026-07-20T00:00:00"/>
    <d v="2026-07-23T00:00:00"/>
    <d v="2026-07-26T00:00:00"/>
    <s v="CLEITON DOS SANTOS"/>
    <x v="1"/>
    <s v="Isabella"/>
    <s v="F"/>
    <n v="5511979876380"/>
    <s v="Novo"/>
    <s v="Envio e-mail"/>
    <d v="2026-07-29T00:00:00"/>
    <x v="6"/>
  </r>
  <r>
    <d v="2026-07-20T00:00:00"/>
    <d v="2026-07-23T00:00:00"/>
    <d v="2026-07-26T00:00:00"/>
    <s v="VANDERLEI APARECIDO SALANDIN"/>
    <x v="1"/>
    <s v="John"/>
    <s v="M"/>
    <n v="5511985561188"/>
    <s v="Novo"/>
    <s v="Assinado"/>
    <d v="2026-07-29T00:00:00"/>
    <x v="6"/>
  </r>
  <r>
    <d v="2026-07-20T00:00:00"/>
    <d v="2026-07-23T00:00:00"/>
    <d v="2026-07-26T00:00:00"/>
    <s v="VIVIANE CRISTINA DE SOUZA"/>
    <x v="1"/>
    <s v="Myrelle"/>
    <s v="F"/>
    <n v="5511978962365"/>
    <s v="Novo"/>
    <s v="Assinado"/>
    <d v="2026-07-29T00:00:00"/>
    <x v="6"/>
  </r>
  <r>
    <d v="2026-07-20T00:00:00"/>
    <d v="2026-07-23T00:00:00"/>
    <d v="2026-07-26T00:00:00"/>
    <s v="FABIO CRUZ DE SALES"/>
    <x v="0"/>
    <s v="Isabella"/>
    <s v="F"/>
    <n v="5511975660661"/>
    <s v="Novo"/>
    <s v="Assinado"/>
    <d v="2026-07-29T00:00:00"/>
    <x v="6"/>
  </r>
  <r>
    <d v="2026-07-20T00:00:00"/>
    <d v="2026-07-23T00:00:00"/>
    <d v="2026-07-26T00:00:00"/>
    <s v="ADAO SILVA SOUZA"/>
    <x v="0"/>
    <s v="Isabella"/>
    <s v="F"/>
    <n v="5511971794253"/>
    <s v="Novo"/>
    <s v="Erro"/>
    <d v="2026-07-29T00:00:00"/>
    <x v="6"/>
  </r>
  <r>
    <d v="2026-07-21T00:00:00"/>
    <d v="2026-07-24T00:00:00"/>
    <d v="2026-07-27T00:00:00"/>
    <s v="ANTONIO ALENCAR CALIXTO"/>
    <x v="11"/>
    <s v="John"/>
    <s v="M"/>
    <n v="5511985089023"/>
    <s v="Renovação"/>
    <s v="Erro"/>
    <d v="2026-07-30T00:00:00"/>
    <x v="6"/>
  </r>
  <r>
    <d v="2026-07-21T00:00:00"/>
    <d v="2026-07-24T00:00:00"/>
    <d v="2026-07-27T00:00:00"/>
    <s v="BRUNA BARBOSA DE SOUZA"/>
    <x v="3"/>
    <s v="John"/>
    <s v="M"/>
    <n v="5511948136610"/>
    <s v="Renovação"/>
    <s v="Assinado"/>
    <d v="2026-07-30T00:00:00"/>
    <x v="6"/>
  </r>
  <r>
    <d v="2026-07-21T00:00:00"/>
    <d v="2026-07-24T00:00:00"/>
    <d v="2026-07-27T00:00:00"/>
    <s v="GRAZIELE APARECIDA COELHO DE SOUZA"/>
    <x v="5"/>
    <s v="John"/>
    <s v="M"/>
    <n v="5511980457837"/>
    <s v="Novo"/>
    <s v="Assinado"/>
    <d v="2026-07-30T00:00:00"/>
    <x v="6"/>
  </r>
  <r>
    <d v="2026-07-21T00:00:00"/>
    <d v="2026-07-24T00:00:00"/>
    <d v="2026-07-27T00:00:00"/>
    <s v="SMILEY AMARAL BURITI"/>
    <x v="1"/>
    <s v="Myrelle"/>
    <s v="F"/>
    <n v="5517996603866"/>
    <s v="Novo"/>
    <s v="Cancelado"/>
    <d v="2026-07-30T00:00:00"/>
    <x v="6"/>
  </r>
  <r>
    <d v="2026-07-21T00:00:00"/>
    <d v="2026-07-24T00:00:00"/>
    <d v="2026-07-27T00:00:00"/>
    <s v="MARCELO TAVARES DE SOUSA"/>
    <x v="0"/>
    <s v="Jacqueline"/>
    <s v="F"/>
    <n v="5594991670751"/>
    <s v="Novo"/>
    <s v="Assinado"/>
    <d v="2026-07-30T00:00:00"/>
    <x v="6"/>
  </r>
  <r>
    <d v="2026-07-21T00:00:00"/>
    <d v="2026-07-24T00:00:00"/>
    <d v="2026-07-27T00:00:00"/>
    <s v="SERGIO ALVES DA SILVA"/>
    <x v="0"/>
    <s v="John"/>
    <s v="M"/>
    <n v="5519992855356"/>
    <s v="Renovação"/>
    <s v="Assinado"/>
    <d v="2026-07-30T00:00:00"/>
    <x v="6"/>
  </r>
  <r>
    <d v="2026-07-21T00:00:00"/>
    <d v="2026-07-24T00:00:00"/>
    <d v="2026-07-27T00:00:00"/>
    <s v="DEBORA MARIA DIAS"/>
    <x v="1"/>
    <s v="Isabella"/>
    <s v="F"/>
    <n v="5511986748703"/>
    <s v="Novo"/>
    <s v="Assinado"/>
    <d v="2026-07-30T00:00:00"/>
    <x v="6"/>
  </r>
  <r>
    <d v="2026-07-21T00:00:00"/>
    <d v="2026-07-24T00:00:00"/>
    <d v="2026-07-27T00:00:00"/>
    <s v="EVA CLAUDIA PADILHA"/>
    <x v="0"/>
    <s v="Isabella"/>
    <s v="F"/>
    <n v="5511997078927"/>
    <s v="Novo"/>
    <s v="Envio e-mail"/>
    <d v="2026-07-30T00:00:00"/>
    <x v="6"/>
  </r>
  <r>
    <d v="2026-07-21T00:00:00"/>
    <d v="2026-07-24T00:00:00"/>
    <d v="2026-07-27T00:00:00"/>
    <s v="MARIA BENEDITA DE OLIVEIRA COSTA"/>
    <x v="6"/>
    <s v="John"/>
    <s v="M"/>
    <n v="5512981209604"/>
    <s v="Novo"/>
    <s v="Envio e-mail"/>
    <d v="2026-07-30T00:00:00"/>
    <x v="6"/>
  </r>
  <r>
    <d v="2026-07-21T00:00:00"/>
    <d v="2026-07-24T00:00:00"/>
    <d v="2026-07-27T00:00:00"/>
    <s v="FABIANO LOMBARDI DOS SANTOS"/>
    <x v="8"/>
    <s v="Leticia"/>
    <s v="F"/>
    <n v="5519996594711"/>
    <s v="Novo"/>
    <s v="Assinado"/>
    <d v="2026-07-30T00:00:00"/>
    <x v="6"/>
  </r>
  <r>
    <d v="2026-07-21T00:00:00"/>
    <d v="2026-07-24T00:00:00"/>
    <d v="2026-07-27T00:00:00"/>
    <s v="FABIANO LOMBARDI DOS SANTOS"/>
    <x v="8"/>
    <s v="Leticia"/>
    <s v="F"/>
    <n v="5519996594711"/>
    <s v="Novo"/>
    <s v="Assinado"/>
    <d v="2026-07-30T00:00:00"/>
    <x v="6"/>
  </r>
  <r>
    <d v="2026-07-22T00:00:00"/>
    <d v="2026-07-25T00:00:00"/>
    <d v="2026-07-28T00:00:00"/>
    <s v="GRAFF COMERCIO VAREJISTA DE SORVETES LTDA"/>
    <x v="3"/>
    <s v="John"/>
    <s v="M"/>
    <n v="5511980457837"/>
    <s v="Renovação"/>
    <s v="Assinado"/>
    <d v="2026-07-31T00:00:00"/>
    <x v="6"/>
  </r>
  <r>
    <d v="2026-07-22T00:00:00"/>
    <d v="2026-07-25T00:00:00"/>
    <d v="2026-07-28T00:00:00"/>
    <s v="ROMULO CESAR FERNANDES"/>
    <x v="3"/>
    <s v="John"/>
    <s v="M"/>
    <n v="5511992620363"/>
    <s v="Renovação"/>
    <s v="Assinado"/>
    <d v="2026-07-31T00:00:00"/>
    <x v="6"/>
  </r>
  <r>
    <d v="2026-07-22T00:00:00"/>
    <d v="2026-07-25T00:00:00"/>
    <d v="2026-07-28T00:00:00"/>
    <s v="WEDERSON APARECIDO DOS SANTOS"/>
    <x v="2"/>
    <s v="John"/>
    <s v="M"/>
    <n v="5511962532360"/>
    <s v="Renovação"/>
    <s v="Assinado"/>
    <d v="2026-07-31T00:00:00"/>
    <x v="6"/>
  </r>
  <r>
    <d v="2026-07-22T00:00:00"/>
    <d v="2026-07-25T00:00:00"/>
    <d v="2026-07-28T00:00:00"/>
    <s v="SUELI BARBOSA DE MORAIS"/>
    <x v="3"/>
    <s v="John"/>
    <s v="M"/>
    <n v="5511991742438"/>
    <s v="Renovação"/>
    <s v="Assinado"/>
    <d v="2026-07-31T00:00:00"/>
    <x v="6"/>
  </r>
  <r>
    <d v="2026-07-22T00:00:00"/>
    <d v="2026-07-25T00:00:00"/>
    <d v="2026-07-28T00:00:00"/>
    <s v="PATRICIA ALVES NASCIMENTO"/>
    <x v="2"/>
    <s v="John"/>
    <s v="M"/>
    <n v="5512981586628"/>
    <s v="Novo"/>
    <s v="Envio e-mail"/>
    <d v="2026-07-31T00:00:00"/>
    <x v="6"/>
  </r>
  <r>
    <d v="2026-07-22T00:00:00"/>
    <d v="2026-07-25T00:00:00"/>
    <d v="2026-07-28T00:00:00"/>
    <s v="MATHEUS ALVES OLIVEIRA"/>
    <x v="1"/>
    <s v="Leticia"/>
    <s v="F"/>
    <n v="5511949703819"/>
    <s v="Novo"/>
    <s v="Envio e-mail"/>
    <d v="2026-07-31T00:00:00"/>
    <x v="6"/>
  </r>
  <r>
    <d v="2026-07-22T00:00:00"/>
    <d v="2026-07-25T00:00:00"/>
    <d v="2026-07-28T00:00:00"/>
    <s v="ROSIANE BATISTA DE SOUSA SILVA"/>
    <x v="10"/>
    <s v="Leticia"/>
    <s v="F"/>
    <n v="5513974189205"/>
    <s v="Novo"/>
    <s v="Assinado"/>
    <d v="2026-07-31T00:00:00"/>
    <x v="6"/>
  </r>
  <r>
    <d v="2026-07-22T00:00:00"/>
    <d v="2026-07-25T00:00:00"/>
    <d v="2026-07-28T00:00:00"/>
    <s v="RODRIGO DE SOUZA"/>
    <x v="1"/>
    <s v="John"/>
    <s v="M"/>
    <n v="5511978057883"/>
    <s v="Novo"/>
    <s v="Assinado"/>
    <d v="2026-07-31T00:00:00"/>
    <x v="6"/>
  </r>
  <r>
    <d v="2026-07-22T00:00:00"/>
    <d v="2026-07-25T00:00:00"/>
    <d v="2026-07-28T00:00:00"/>
    <s v="CARLOS HENRIQUE CHAGAS COSTA"/>
    <x v="0"/>
    <s v="Jacqueline"/>
    <s v="F"/>
    <n v="5585989219339"/>
    <s v="Novo"/>
    <s v="Assinado"/>
    <d v="2026-07-31T00:00:00"/>
    <x v="6"/>
  </r>
  <r>
    <d v="2026-07-22T00:00:00"/>
    <d v="2026-07-25T00:00:00"/>
    <d v="2026-07-28T00:00:00"/>
    <s v="AGENILDO FERREIRA DE LIMA"/>
    <x v="2"/>
    <s v="John"/>
    <s v="M"/>
    <n v="5519995410987"/>
    <s v="Renovação"/>
    <s v="Erro"/>
    <d v="2026-07-31T00:00:00"/>
    <x v="6"/>
  </r>
  <r>
    <d v="2026-07-22T00:00:00"/>
    <d v="2026-07-25T00:00:00"/>
    <d v="2026-07-28T00:00:00"/>
    <s v="CARLOS ALBERTO DO NASCIMENTO"/>
    <x v="3"/>
    <s v="John"/>
    <s v="M"/>
    <n v="5511980484505"/>
    <s v="Novo"/>
    <s v="Assinado"/>
    <d v="2026-07-31T00:00:00"/>
    <x v="6"/>
  </r>
  <r>
    <d v="2026-07-22T00:00:00"/>
    <d v="2026-07-25T00:00:00"/>
    <d v="2026-07-28T00:00:00"/>
    <s v="CENIRA DE JESUS CORREIA"/>
    <x v="0"/>
    <s v="Leticia"/>
    <s v="F"/>
    <n v="5511941151224"/>
    <s v="Novo"/>
    <s v="Assinado"/>
    <d v="2026-07-31T00:00:00"/>
    <x v="6"/>
  </r>
  <r>
    <d v="2026-07-24T00:00:00"/>
    <d v="2026-07-27T00:00:00"/>
    <d v="2026-07-30T00:00:00"/>
    <s v="IVETE DISSORDI"/>
    <x v="1"/>
    <s v="Jacqueline"/>
    <s v="F"/>
    <n v="5519989724495"/>
    <s v="Novo"/>
    <s v="Cancelado"/>
    <d v="2026-08-02T00:00:00"/>
    <x v="6"/>
  </r>
  <r>
    <d v="2026-07-24T00:00:00"/>
    <d v="2026-07-27T00:00:00"/>
    <d v="2026-07-30T00:00:00"/>
    <s v="JOSEFA FERNANDES DA FONSECA"/>
    <x v="0"/>
    <s v="Jacqueline"/>
    <s v="F"/>
    <n v="5511943895378"/>
    <s v="Novo"/>
    <s v="Cancelado"/>
    <d v="2026-08-02T00:00:00"/>
    <x v="6"/>
  </r>
  <r>
    <d v="2026-07-24T00:00:00"/>
    <d v="2026-07-27T00:00:00"/>
    <d v="2026-07-30T00:00:00"/>
    <s v="KLAYTON HENRIQUE DOS SANTOS DE OLIVEIRA"/>
    <x v="1"/>
    <s v="Isabella"/>
    <s v="F"/>
    <n v="5511994918932"/>
    <s v="Novo"/>
    <s v="Assinado"/>
    <d v="2026-08-02T00:00:00"/>
    <x v="6"/>
  </r>
  <r>
    <d v="2026-07-24T00:00:00"/>
    <d v="2026-07-27T00:00:00"/>
    <d v="2026-07-30T00:00:00"/>
    <s v="REGIVALDO DA SILVA CONCEICAO"/>
    <x v="1"/>
    <s v="John"/>
    <s v="M"/>
    <n v="5511957470892"/>
    <s v="Renovação"/>
    <s v="Assinado"/>
    <d v="2026-08-02T00:00:00"/>
    <x v="6"/>
  </r>
  <r>
    <d v="2026-07-24T00:00:00"/>
    <d v="2026-07-27T00:00:00"/>
    <d v="2026-07-30T00:00:00"/>
    <s v="DONIZETE MACIEL DA SILVA"/>
    <x v="1"/>
    <s v="John"/>
    <s v="M"/>
    <n v="5511980288055"/>
    <s v="Renovação"/>
    <s v="Assinado"/>
    <d v="2026-08-02T00:00:00"/>
    <x v="6"/>
  </r>
  <r>
    <d v="2026-07-24T00:00:00"/>
    <d v="2026-07-27T00:00:00"/>
    <d v="2026-07-30T00:00:00"/>
    <s v="OTAVIO HENRIQUE PACHECO"/>
    <x v="4"/>
    <s v="John"/>
    <s v="M"/>
    <n v="5535984181972"/>
    <s v="Novo"/>
    <s v="Assinado"/>
    <d v="2026-08-02T00:00:00"/>
    <x v="6"/>
  </r>
  <r>
    <d v="2026-07-24T00:00:00"/>
    <d v="2026-07-27T00:00:00"/>
    <d v="2026-07-30T00:00:00"/>
    <s v="EMERSON CANDIDO"/>
    <x v="0"/>
    <s v="John"/>
    <s v="M"/>
    <n v="5512997044297"/>
    <s v="Novo"/>
    <s v="Assinado"/>
    <d v="2026-08-02T00:00:00"/>
    <x v="6"/>
  </r>
  <r>
    <d v="2026-07-24T00:00:00"/>
    <d v="2026-07-27T00:00:00"/>
    <d v="2026-07-30T00:00:00"/>
    <s v="VALDIR DA SILVA JUNIOR"/>
    <x v="1"/>
    <s v="John"/>
    <s v="M"/>
    <n v="5511951857395"/>
    <s v="Novo"/>
    <s v="Assinado"/>
    <d v="2026-08-02T00:00:00"/>
    <x v="6"/>
  </r>
  <r>
    <d v="2026-07-24T00:00:00"/>
    <d v="2026-07-27T00:00:00"/>
    <d v="2026-07-30T00:00:00"/>
    <s v="VALDIR DA SILVA JUNIOR"/>
    <x v="1"/>
    <s v="John"/>
    <s v="M"/>
    <n v="5511951857395"/>
    <s v="Novo"/>
    <s v="Assinado"/>
    <d v="2026-08-02T00:00:00"/>
    <x v="6"/>
  </r>
  <r>
    <d v="2026-07-24T00:00:00"/>
    <d v="2026-07-27T00:00:00"/>
    <d v="2026-07-30T00:00:00"/>
    <s v="ADEMIR ANDRADE DA SILVA"/>
    <x v="0"/>
    <s v="Jacqueline"/>
    <s v="F"/>
    <n v="5511982543339"/>
    <s v="Novo"/>
    <s v="Assinado"/>
    <d v="2026-08-02T00:00:00"/>
    <x v="6"/>
  </r>
  <r>
    <d v="2026-07-27T00:00:00"/>
    <d v="2026-07-30T00:00:00"/>
    <d v="2026-08-02T00:00:00"/>
    <s v="MARTINS FERNANDES SOUSA"/>
    <x v="1"/>
    <s v="Jacqueline"/>
    <s v="F"/>
    <n v="5511959224290"/>
    <s v="Novo"/>
    <s v="Assinado"/>
    <d v="2026-08-05T00:00:00"/>
    <x v="6"/>
  </r>
  <r>
    <d v="2026-07-27T00:00:00"/>
    <d v="2026-07-30T00:00:00"/>
    <d v="2026-08-02T00:00:00"/>
    <s v="LIDIANE CAPITULINO DA SILVA"/>
    <x v="0"/>
    <s v="Myrelle"/>
    <s v="F"/>
    <n v="5511932322148"/>
    <s v="Novo"/>
    <s v="2° envio"/>
    <d v="2026-08-05T00:00:00"/>
    <x v="6"/>
  </r>
  <r>
    <d v="2026-07-28T00:00:00"/>
    <d v="2026-07-31T00:00:00"/>
    <d v="2026-08-03T00:00:00"/>
    <s v="ROBSON DUTRA LIMA"/>
    <x v="4"/>
    <s v="Isabella"/>
    <s v="F"/>
    <n v="5515996426243"/>
    <s v="Novo"/>
    <s v="Pendente"/>
    <d v="2026-08-06T00:00:00"/>
    <x v="6"/>
  </r>
  <r>
    <d v="2026-07-28T00:00:00"/>
    <d v="2026-07-31T00:00:00"/>
    <d v="2026-08-03T00:00:00"/>
    <s v="JUNIOR BARBOSA DA SILVA"/>
    <x v="5"/>
    <s v="Isabella"/>
    <s v="F"/>
    <n v="5511941545288"/>
    <s v="Novo"/>
    <s v="Assinado"/>
    <d v="2026-08-06T00:00:00"/>
    <x v="6"/>
  </r>
  <r>
    <d v="2026-07-28T00:00:00"/>
    <d v="2026-07-31T00:00:00"/>
    <d v="2026-08-03T00:00:00"/>
    <s v="JOSE FLORENTINO DA CONCEICAO"/>
    <x v="1"/>
    <s v="Isabella"/>
    <s v="F"/>
    <n v="5511987429951"/>
    <s v="Novo"/>
    <s v="Assinado"/>
    <d v="2026-08-06T00:00:00"/>
    <x v="6"/>
  </r>
  <r>
    <d v="2026-07-29T00:00:00"/>
    <d v="2026-08-01T00:00:00"/>
    <d v="2026-08-04T00:00:00"/>
    <s v="LUCIANO BEZERRA DE CARVALHO"/>
    <x v="1"/>
    <s v="John"/>
    <s v="M"/>
    <n v="5511983010522"/>
    <s v="Novo"/>
    <s v="Pendente"/>
    <d v="2026-08-07T00:00:00"/>
    <x v="6"/>
  </r>
  <r>
    <d v="2026-07-29T00:00:00"/>
    <d v="2026-08-01T00:00:00"/>
    <d v="2026-08-04T00:00:00"/>
    <s v="SANDRO APOLINARIO DOS SANTOS"/>
    <x v="0"/>
    <s v="John"/>
    <s v="M"/>
    <n v="5511998062769"/>
    <s v="Novo"/>
    <s v="Pendente"/>
    <d v="2026-08-07T00:00:00"/>
    <x v="6"/>
  </r>
  <r>
    <d v="2026-07-29T00:00:00"/>
    <d v="2026-08-01T00:00:00"/>
    <d v="2026-08-04T00:00:00"/>
    <s v="SANDRO ROMUALDO DE OLIVEIRA"/>
    <x v="1"/>
    <s v="John"/>
    <s v="M"/>
    <n v="5511956610037"/>
    <s v="Novo"/>
    <s v="Pendente"/>
    <d v="2026-08-07T00:00:00"/>
    <x v="6"/>
  </r>
  <r>
    <d v="2026-07-29T00:00:00"/>
    <d v="2026-08-01T00:00:00"/>
    <d v="2026-08-04T00:00:00"/>
    <s v="DAYANE CRISTINA CELESTINO"/>
    <x v="0"/>
    <s v="Jacqueline"/>
    <s v="F"/>
    <n v="5516993946751"/>
    <s v="Novo"/>
    <s v="Pendente"/>
    <d v="2026-08-07T00:00:00"/>
    <x v="6"/>
  </r>
  <r>
    <d v="2026-07-30T00:00:00"/>
    <d v="2026-08-02T00:00:00"/>
    <d v="2026-08-05T00:00:00"/>
    <s v="ANTONIO GABRIEL JUNIOR"/>
    <x v="1"/>
    <s v="Leticia"/>
    <s v="F"/>
    <n v="5511947830171"/>
    <s v="Novo"/>
    <s v="Assinado"/>
    <d v="2026-08-08T00:00:00"/>
    <x v="6"/>
  </r>
  <r>
    <d v="2026-07-30T00:00:00"/>
    <d v="2026-08-02T00:00:00"/>
    <d v="2026-08-05T00:00:00"/>
    <s v="LEONARDO FERNANDES GARCIA"/>
    <x v="2"/>
    <s v="Leticia"/>
    <s v="F"/>
    <n v="5513981126784"/>
    <s v="Novo"/>
    <s v="Pendente"/>
    <d v="2026-08-08T00:00:00"/>
    <x v="6"/>
  </r>
  <r>
    <d v="2026-07-30T00:00:00"/>
    <d v="2026-08-02T00:00:00"/>
    <d v="2026-08-05T00:00:00"/>
    <s v="NILO SERGIO GAVA"/>
    <x v="3"/>
    <s v="John"/>
    <s v="M"/>
    <n v="5511999028073"/>
    <s v="Novo"/>
    <s v="Pendente"/>
    <d v="2026-08-08T00:00:00"/>
    <x v="6"/>
  </r>
  <r>
    <d v="2026-07-30T00:00:00"/>
    <d v="2026-08-02T00:00:00"/>
    <d v="2026-08-05T00:00:00"/>
    <s v="TAIZA LIMA SOUSA DE MATOS"/>
    <x v="0"/>
    <s v="Jacqueline"/>
    <s v="F"/>
    <n v="5513992021408"/>
    <s v="Novo"/>
    <s v="Pendente"/>
    <d v="2026-08-08T00:00:00"/>
    <x v="6"/>
  </r>
  <r>
    <d v="2026-07-30T00:00:00"/>
    <d v="2026-08-02T00:00:00"/>
    <d v="2026-08-05T00:00:00"/>
    <s v="CLAUDIO EDUARDO RODRIGUES"/>
    <x v="1"/>
    <s v="Myrelle"/>
    <s v="F"/>
    <n v="5511947377988"/>
    <s v="Novo"/>
    <s v="Assinado"/>
    <d v="2026-08-08T00:00:00"/>
    <x v="6"/>
  </r>
  <r>
    <d v="2026-07-30T00:00:00"/>
    <d v="2026-08-02T00:00:00"/>
    <d v="2026-08-05T00:00:00"/>
    <s v="FILIPE TADEU OLIVEIRA JULIO"/>
    <x v="0"/>
    <s v="John"/>
    <s v="M"/>
    <n v="5511996770979"/>
    <s v="Renovação"/>
    <s v="Assinado"/>
    <d v="2026-08-08T00:00:00"/>
    <x v="6"/>
  </r>
  <r>
    <d v="2026-07-31T00:00:00"/>
    <d v="2026-08-03T00:00:00"/>
    <d v="2026-08-06T00:00:00"/>
    <s v="SAMIRA VIEIRA"/>
    <x v="5"/>
    <s v="John"/>
    <s v="M"/>
    <n v="5511952862377"/>
    <s v="Novo"/>
    <s v="Assinado"/>
    <d v="2026-08-09T00:00:00"/>
    <x v="6"/>
  </r>
  <r>
    <d v="2026-07-31T00:00:00"/>
    <d v="2026-08-03T00:00:00"/>
    <d v="2026-08-06T00:00:00"/>
    <s v="WELISON CELSO CIPULLO"/>
    <x v="1"/>
    <s v="Jacqueline"/>
    <s v="F"/>
    <n v="5511930627624"/>
    <s v="Novo"/>
    <s v="Pendente"/>
    <d v="2026-08-09T00:00:00"/>
    <x v="6"/>
  </r>
  <r>
    <d v="2026-07-31T00:00:00"/>
    <d v="2026-08-03T00:00:00"/>
    <d v="2026-08-06T00:00:00"/>
    <s v="ANA CELIA SANTANA SANTOS"/>
    <x v="0"/>
    <s v="Jacqueline"/>
    <s v="F"/>
    <n v="5511930184021"/>
    <s v="Novo"/>
    <s v="Pendente"/>
    <d v="2026-08-09T00:00:00"/>
    <x v="6"/>
  </r>
  <r>
    <d v="2026-07-31T00:00:00"/>
    <d v="2026-08-03T00:00:00"/>
    <d v="2026-08-06T00:00:00"/>
    <s v="LEANDRO FARIAS ALVES"/>
    <x v="0"/>
    <s v="Jacqueline"/>
    <s v="F"/>
    <n v="5511985676227"/>
    <s v="Novo"/>
    <s v="Pendente"/>
    <d v="2026-08-09T00:00:00"/>
    <x v="6"/>
  </r>
  <r>
    <d v="2026-07-31T00:00:00"/>
    <d v="2026-08-03T00:00:00"/>
    <d v="2026-08-06T00:00:00"/>
    <s v="ERICK DOS SANTOS MARQUES CORREIA"/>
    <x v="1"/>
    <s v="Leticia"/>
    <s v="F"/>
    <n v="5511962607968"/>
    <s v="Novo"/>
    <s v="Pendente"/>
    <d v="2026-08-09T00:00:00"/>
    <x v="6"/>
  </r>
  <r>
    <d v="2026-07-31T00:00:00"/>
    <d v="2026-08-03T00:00:00"/>
    <d v="2026-08-06T00:00:00"/>
    <s v="CRISTIANE MORAIS DA ROCHA LABREGO"/>
    <x v="0"/>
    <s v="Jacqueline"/>
    <s v="F"/>
    <n v="5513991209384"/>
    <s v="Novo"/>
    <s v="Pendente"/>
    <d v="2026-08-09T00:00:00"/>
    <x v="6"/>
  </r>
  <r>
    <d v="2026-07-31T00:00:00"/>
    <d v="2026-08-03T00:00:00"/>
    <d v="2026-08-06T00:00:00"/>
    <s v="RANILSON JOSE NASCIMENTO PAES JUNIOR"/>
    <x v="11"/>
    <s v="Myrelle"/>
    <s v="F"/>
    <n v="5581992050147"/>
    <s v="Novo"/>
    <s v="Pendente"/>
    <d v="2026-08-09T00:00:00"/>
    <x v="6"/>
  </r>
  <r>
    <d v="2026-07-31T00:00:00"/>
    <d v="2026-08-03T00:00:00"/>
    <d v="2026-08-06T00:00:00"/>
    <s v="GUILHERME VILELA MOREIRA"/>
    <x v="0"/>
    <s v="Jacqueline"/>
    <s v="F"/>
    <n v="5511978549001"/>
    <s v="Novo"/>
    <s v="Pendente"/>
    <d v="2026-08-09T00:00:00"/>
    <x v="6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  <r>
    <m/>
    <m/>
    <m/>
    <m/>
    <x v="12"/>
    <m/>
    <m/>
    <m/>
    <m/>
    <m/>
    <m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2" cacheId="2" dataOnRows="0" dataCaption="Valores" showError="0" showMissing="1" updatedVersion="3" minRefreshableVersion="3" asteriskTotals="0" showItems="1" editData="0" disableFieldList="0" showCalcMbrs="0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3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B2:C10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</pivotFields>
  <rowFields count="1">
    <field x="11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Contar de Nome do cliente" fld="3" subtotal="count" showDataAs="normal" baseField="0" baseItem="0"/>
  </dataFields>
  <chartFormats count="1">
    <chartFormat chart="2" format="3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 hiddenButton="0" showButton="1">
          <customFilters>
            <customFilter val="46023" operator="equal"/>
          </customFilters>
        </filterColumn>
      </autoFilter>
    </filter>
  </filter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3" cacheId="2" dataOnRows="0" dataCaption="Valores" showError="0" showMissing="1" updatedVersion="3" minRefreshableVersion="3" asteriskTotals="0" showItems="1" editData="0" disableFieldList="0" showCalcMbrs="0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3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B13:C26" firstHeaderRow="1" firstDataRow="1" firstDataCol="1"/>
  <pivotFields count="1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8"/>
        <item t="data" sd="1" x="5"/>
        <item t="data" sd="1" x="0"/>
        <item t="data" sd="1" x="11"/>
        <item t="data" sd="1" x="7"/>
        <item t="data" sd="1" x="9"/>
        <item t="data" sd="1" x="4"/>
        <item t="data" sd="1" x="3"/>
        <item t="data" sd="1" x="1"/>
        <item t="data" sd="1" x="2"/>
        <item t="data" sd="1" x="10"/>
        <item t="data" sd="1" x="6"/>
        <item t="data" h="1" sd="1" x="1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Contar de Nome do cliente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7351013101216101517" displayName="Tabela7351013101216101517" ref="A1:L1194" headerRowCount="1" totalsRowShown="0" headerRowDxfId="77">
  <autoFilter ref="A1:L1194">
    <filterColumn colId="1" hiddenButton="0" showButton="1"/>
    <filterColumn colId="2" hiddenButton="0" showButton="1"/>
    <filterColumn colId="6" hiddenButton="0" showButton="1"/>
    <filterColumn colId="7" hiddenButton="0" showButton="1"/>
    <filterColumn colId="8" hiddenButton="0" showButton="1"/>
    <filterColumn colId="9" hiddenButton="0" showButton="1"/>
    <filterColumn colId="10" hiddenButton="0" showButton="1"/>
    <filterColumn colId="11" hiddenButton="0" showButton="1"/>
  </autoFilter>
  <sortState ref="A2:J238">
    <sortCondition ref="J2:J22"/>
  </sortState>
  <tableColumns count="12">
    <tableColumn id="1" name="1° envio" dataDxfId="76"/>
    <tableColumn id="6" name="2° envio" dataDxfId="75"/>
    <tableColumn id="9" name="e-mail" dataDxfId="74"/>
    <tableColumn id="2" name="Nome do cliente" dataDxfId="73"/>
    <tableColumn id="3" name="Seguradora" dataDxfId="72"/>
    <tableColumn id="4" name="Consultor" dataDxfId="71"/>
    <tableColumn id="11" name="Gênero" dataDxfId="70"/>
    <tableColumn id="12" name="Telefone" dataDxfId="69"/>
    <tableColumn id="8" name="Tipo" dataDxfId="68"/>
    <tableColumn id="5" name="Status" dataDxfId="67"/>
    <tableColumn id="7" name="Planilha " dataDxfId="66"/>
    <tableColumn id="10" name="Mês" dataDxfId="65">
      <calculatedColumnFormula>TEXT(A2,"mmmm")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Tabela73" displayName="Tabela73" ref="A1:G176" headerRowCount="1" totalsRowShown="0" headerRowDxfId="53">
  <autoFilter ref="A1:G176">
    <filterColumn colId="3" hiddenButton="0" showButton="1"/>
    <filterColumn colId="5" hiddenButton="0" showButton="1"/>
    <filterColumn colId="6" hiddenButton="0" showButton="1"/>
  </autoFilter>
  <sortState ref="A3:G55">
    <sortCondition ref="G2:G22"/>
  </sortState>
  <tableColumns count="7">
    <tableColumn id="1" name="Data" dataDxfId="52"/>
    <tableColumn id="6" name="Cobrança" dataDxfId="51"/>
    <tableColumn id="2" name="Nome do cliente" dataDxfId="50"/>
    <tableColumn id="3" name="Seguradora" dataDxfId="49"/>
    <tableColumn id="4" name="Consultor" dataDxfId="48"/>
    <tableColumn id="8" name="Tipo" dataDxfId="47"/>
    <tableColumn id="5" name="Status" dataDxfId="46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I1:K176" headerRowCount="1" totalsRowShown="0" headerRowDxfId="45" headerRowBorderDxfId="44">
  <autoFilter ref="I1:K176">
    <filterColumn colId="1" hiddenButton="0" showButton="1"/>
    <filterColumn colId="2" hiddenButton="0" showButton="1">
      <filters>
        <dateGroupItem year="2026" month="3" day="9" dateTimeGrouping="day"/>
        <dateGroupItem year="2026" month="3" day="10" dateTimeGrouping="day"/>
        <dateGroupItem year="2026" month="3" day="11" dateTimeGrouping="day"/>
        <dateGroupItem year="2026" month="3" day="12" dateTimeGrouping="day"/>
      </filters>
    </filterColumn>
  </autoFilter>
  <tableColumns count="3">
    <tableColumn id="1" name="Data de reenvio" dataDxfId="43"/>
    <tableColumn id="2" name="Data de reenvi" dataDxfId="42"/>
    <tableColumn id="3" name="Consultor" dataDxfId="41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Tabela735" displayName="Tabela735" ref="A1:H237" headerRowCount="1" totalsRowShown="0" headerRowDxfId="23">
  <autoFilter ref="A1:H237">
    <filterColumn colId="6" hiddenButton="0" showButton="1"/>
    <filterColumn colId="7" hiddenButton="0" showButton="1"/>
  </autoFilter>
  <sortState ref="A2:H238">
    <sortCondition ref="H2:H22"/>
  </sortState>
  <tableColumns count="8">
    <tableColumn id="1" name="1° envio" dataDxfId="22"/>
    <tableColumn id="6" name="2° envio" dataDxfId="21"/>
    <tableColumn id="9" name="e-mail" dataDxfId="20"/>
    <tableColumn id="2" name="Nome do cliente" dataDxfId="19"/>
    <tableColumn id="3" name="Seguradora" dataDxfId="18"/>
    <tableColumn id="4" name="Consultor" dataDxfId="17"/>
    <tableColumn id="8" name="Tipo" dataDxfId="16"/>
    <tableColumn id="5" name="Status" dataDxfId="15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id="5" name="Tabela39" displayName="Tabela39" ref="I1:I237" headerRowCount="1" totalsRowShown="0" headerRowDxfId="14" headerRowBorderDxfId="13">
  <autoFilter ref="I1:I237">
    <filterColumn colId="0" hiddenButton="0" showButton="1"/>
  </autoFilter>
  <tableColumns count="1">
    <tableColumn id="3" name="Planilha" dataDxfId="12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Tabela1" displayName="Tabela1" ref="A1:A16" headerRowCount="1" totalsRowShown="0">
  <autoFilter ref="A1:A16"/>
  <tableColumns count="1">
    <tableColumn id="1" name="Segurador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ela5" displayName="Tabela5" ref="C1:C8" headerRowCount="1" totalsRowShown="0">
  <autoFilter ref="C1:C8"/>
  <tableColumns count="1">
    <tableColumn id="1" name="consultor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ela6" displayName="Tabela6" ref="B1:B9" headerRowCount="1" totalsRowShown="0">
  <autoFilter ref="B1:B9">
    <filterColumn colId="0" hiddenButton="0" showButton="1"/>
  </autoFilter>
  <tableColumns count="1">
    <tableColumn id="1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ela10" displayName="Tabela10" ref="E1:E4" headerRowCount="1" totalsRowShown="0">
  <autoFilter ref="E1:E4"/>
  <tableColumns count="1">
    <tableColumn id="1" name="tip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ela13" displayName="Tabela13" ref="G1:G3" headerRowCount="1" totalsRowShown="0">
  <autoFilter ref="G1:G3"/>
  <tableColumns count="1">
    <tableColumn id="1" name="Gêne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Relationship Type="http://schemas.openxmlformats.org/officeDocument/2006/relationships/table" Target="/xl/tables/table10.xml" Id="rId5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11">
    <outlinePr summaryBelow="1" summaryRight="1"/>
    <pageSetUpPr/>
  </sheetPr>
  <dimension ref="A1:Y1195"/>
  <sheetViews>
    <sheetView tabSelected="1" topLeftCell="A1135" zoomScale="85" zoomScaleNormal="85" workbookViewId="0">
      <selection activeCell="D1148" sqref="D1148"/>
    </sheetView>
  </sheetViews>
  <sheetFormatPr baseColWidth="8" defaultRowHeight="15"/>
  <cols>
    <col width="14.140625" customWidth="1" style="62" min="1" max="1"/>
    <col width="17" customWidth="1" style="62" min="2" max="3"/>
    <col width="58.140625" bestFit="1" customWidth="1" style="87" min="4" max="4"/>
    <col width="17" customWidth="1" style="87" min="5" max="5"/>
    <col width="15.85546875" customWidth="1" style="87" min="6" max="6"/>
    <col width="12.28515625" bestFit="1" customWidth="1" style="87" min="7" max="7"/>
    <col width="15.85546875" customWidth="1" style="90" min="8" max="8"/>
    <col width="12.42578125" customWidth="1" style="87" min="9" max="9"/>
    <col width="18.28515625" customWidth="1" style="87" min="10" max="10"/>
    <col width="14.140625" bestFit="1" customWidth="1" style="62" min="11" max="11"/>
    <col width="10" bestFit="1" customWidth="1" style="83" min="12" max="12"/>
    <col width="18.140625" bestFit="1" customWidth="1" style="83" min="13" max="13"/>
    <col width="20.42578125" bestFit="1" customWidth="1" style="87" min="14" max="14"/>
    <col width="19" customWidth="1" style="62" min="15" max="15"/>
    <col width="14.140625" bestFit="1" customWidth="1" style="83" min="16" max="16"/>
    <col width="15.28515625" bestFit="1" customWidth="1" style="83" min="17" max="17"/>
    <col width="14" bestFit="1" customWidth="1" style="83" min="18" max="18"/>
    <col width="10.140625" bestFit="1" customWidth="1" style="83" min="19" max="19"/>
    <col width="9.140625" customWidth="1" style="83" min="20" max="20"/>
    <col width="9.140625" customWidth="1" style="83" min="21" max="21"/>
    <col width="9.140625" customWidth="1" style="83" min="22" max="23"/>
    <col width="10.85546875" bestFit="1" customWidth="1" style="87" min="24" max="24"/>
    <col width="11.140625" bestFit="1" customWidth="1" style="87" min="25" max="25"/>
    <col width="9.140625" customWidth="1" style="83" min="26" max="16384"/>
  </cols>
  <sheetData>
    <row r="1" ht="15.75" customHeight="1" s="83" thickBot="1">
      <c r="A1" s="2" t="inlineStr">
        <is>
          <t>1° envio</t>
        </is>
      </c>
      <c r="B1" s="2" t="inlineStr">
        <is>
          <t>2° envio</t>
        </is>
      </c>
      <c r="C1" s="2" t="inlineStr">
        <is>
          <t>e-mail</t>
        </is>
      </c>
      <c r="D1" s="2" t="inlineStr">
        <is>
          <t>Nome do cliente</t>
        </is>
      </c>
      <c r="E1" s="2" t="inlineStr">
        <is>
          <t>Seguradora</t>
        </is>
      </c>
      <c r="F1" s="2" t="inlineStr">
        <is>
          <t>Consultor</t>
        </is>
      </c>
      <c r="G1" s="2" t="inlineStr">
        <is>
          <t>Gênero</t>
        </is>
      </c>
      <c r="H1" s="56" t="inlineStr">
        <is>
          <t>Telefone</t>
        </is>
      </c>
      <c r="I1" s="2" t="inlineStr">
        <is>
          <t>Tipo</t>
        </is>
      </c>
      <c r="J1" s="2" t="inlineStr">
        <is>
          <t>Status</t>
        </is>
      </c>
      <c r="K1" s="39" t="inlineStr">
        <is>
          <t xml:space="preserve">Planilha </t>
        </is>
      </c>
      <c r="L1" s="84" t="inlineStr">
        <is>
          <t>Mês</t>
        </is>
      </c>
      <c r="O1" s="87" t="n"/>
      <c r="P1" s="87" t="n"/>
      <c r="Q1" s="87" t="n"/>
    </row>
    <row r="2" ht="15.75" customHeight="1" s="83" thickTop="1">
      <c r="A2" s="60" t="n">
        <v>45685</v>
      </c>
      <c r="B2" s="60" t="n">
        <v>46053</v>
      </c>
      <c r="C2" s="60" t="n">
        <v>46056</v>
      </c>
      <c r="D2" s="87" t="inlineStr">
        <is>
          <t>LARISSA PEDROSA MONTEIRO</t>
        </is>
      </c>
      <c r="E2" s="87" t="inlineStr">
        <is>
          <t>Azul</t>
        </is>
      </c>
      <c r="F2" s="87" t="inlineStr">
        <is>
          <t>Isabella</t>
        </is>
      </c>
      <c r="G2" s="87" t="inlineStr">
        <is>
          <t>F</t>
        </is>
      </c>
      <c r="H2" s="78" t="n">
        <v>5511984855931</v>
      </c>
      <c r="I2" s="87" t="inlineStr">
        <is>
          <t>Novo</t>
        </is>
      </c>
      <c r="J2" s="87" t="inlineStr">
        <is>
          <t>Cancelado</t>
        </is>
      </c>
      <c r="K2" s="60" t="n">
        <v>46059</v>
      </c>
      <c r="L2" s="87">
        <f>TEXT(A2,"mmmm")</f>
        <v/>
      </c>
      <c r="N2" s="87" t="n"/>
      <c r="O2" s="87" t="n"/>
      <c r="P2" s="87" t="n"/>
      <c r="Q2" s="87" t="n"/>
      <c r="R2" s="87" t="n"/>
      <c r="S2" s="87" t="n"/>
      <c r="T2" s="87" t="n"/>
      <c r="U2" s="87" t="n"/>
      <c r="X2" s="87" t="n"/>
      <c r="Y2" s="87" t="n"/>
    </row>
    <row r="3" s="83">
      <c r="A3" s="60" t="n">
        <v>46050</v>
      </c>
      <c r="B3" s="60" t="n">
        <v>46053</v>
      </c>
      <c r="C3" s="60" t="n">
        <v>46056</v>
      </c>
      <c r="D3" s="87" t="inlineStr">
        <is>
          <t>PATRICIA CONCEICAO DOS SANTOS</t>
        </is>
      </c>
      <c r="E3" s="87" t="inlineStr">
        <is>
          <t>Azul</t>
        </is>
      </c>
      <c r="F3" s="87" t="inlineStr">
        <is>
          <t>Jacqueline</t>
        </is>
      </c>
      <c r="G3" s="87" t="inlineStr">
        <is>
          <t>F</t>
        </is>
      </c>
      <c r="H3" s="78" t="n">
        <v>5521971438816</v>
      </c>
      <c r="I3" s="87" t="inlineStr">
        <is>
          <t>Novo</t>
        </is>
      </c>
      <c r="J3" s="87" t="inlineStr">
        <is>
          <t>Assinado</t>
        </is>
      </c>
      <c r="K3" s="60" t="n">
        <v>46059</v>
      </c>
      <c r="L3" s="87">
        <f>TEXT(A3,"mmmm")</f>
        <v/>
      </c>
      <c r="N3" s="87" t="n"/>
      <c r="O3" s="87" t="n"/>
      <c r="P3" s="87" t="n"/>
      <c r="Q3" s="87" t="n"/>
      <c r="R3" s="87" t="n"/>
      <c r="S3" s="87" t="n"/>
      <c r="T3" s="87" t="n"/>
      <c r="U3" s="87" t="n"/>
      <c r="X3" s="87" t="n"/>
      <c r="Y3" s="87" t="n"/>
    </row>
    <row r="4" s="83">
      <c r="A4" s="60" t="n">
        <v>46051</v>
      </c>
      <c r="B4" s="60" t="n">
        <v>46054</v>
      </c>
      <c r="C4" s="60" t="n">
        <v>46057</v>
      </c>
      <c r="D4" s="87" t="inlineStr">
        <is>
          <t>RENAN FRANCA MARTINS</t>
        </is>
      </c>
      <c r="E4" s="87" t="inlineStr">
        <is>
          <t>Suhai</t>
        </is>
      </c>
      <c r="F4" s="87" t="inlineStr">
        <is>
          <t>Jacqueline</t>
        </is>
      </c>
      <c r="G4" s="87" t="inlineStr">
        <is>
          <t>F</t>
        </is>
      </c>
      <c r="H4" s="78" t="n">
        <v>5511994228907</v>
      </c>
      <c r="I4" s="87" t="inlineStr">
        <is>
          <t>Novo</t>
        </is>
      </c>
      <c r="J4" s="87" t="inlineStr">
        <is>
          <t>Cancelado</t>
        </is>
      </c>
      <c r="K4" s="60" t="n">
        <v>46060</v>
      </c>
      <c r="L4" s="87">
        <f>TEXT(A4,"mmmm")</f>
        <v/>
      </c>
      <c r="N4" s="87" t="n"/>
      <c r="O4" s="87" t="n"/>
      <c r="P4" s="87" t="n"/>
      <c r="Q4" s="87" t="n"/>
      <c r="R4" s="87" t="n"/>
      <c r="S4" s="87" t="n"/>
      <c r="T4" s="87" t="n"/>
      <c r="U4" s="87" t="n"/>
      <c r="V4" s="87" t="n"/>
      <c r="X4" s="87" t="n"/>
      <c r="Y4" s="87" t="n"/>
    </row>
    <row r="5" s="83">
      <c r="A5" s="60" t="n">
        <v>46051</v>
      </c>
      <c r="B5" s="60" t="n">
        <v>46054</v>
      </c>
      <c r="C5" s="60" t="n">
        <v>46057</v>
      </c>
      <c r="D5" s="87" t="inlineStr">
        <is>
          <t>ANALDETE ALVES DE HOLANDA</t>
        </is>
      </c>
      <c r="E5" s="87" t="inlineStr">
        <is>
          <t>Tokio</t>
        </is>
      </c>
      <c r="F5" s="87" t="inlineStr">
        <is>
          <t>Jacqueline</t>
        </is>
      </c>
      <c r="G5" s="87" t="inlineStr">
        <is>
          <t>F</t>
        </is>
      </c>
      <c r="H5" s="78" t="n">
        <v>5511963401135</v>
      </c>
      <c r="I5" s="87" t="inlineStr">
        <is>
          <t>Novo</t>
        </is>
      </c>
      <c r="J5" s="87" t="inlineStr">
        <is>
          <t>Assinado</t>
        </is>
      </c>
      <c r="K5" s="60" t="n">
        <v>46060</v>
      </c>
      <c r="L5" s="87">
        <f>TEXT(A5,"mmmm")</f>
        <v/>
      </c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</row>
    <row r="6" customFormat="1" s="87">
      <c r="A6" s="60" t="n">
        <v>46051</v>
      </c>
      <c r="B6" s="60" t="n">
        <v>46054</v>
      </c>
      <c r="C6" s="60" t="n">
        <v>46057</v>
      </c>
      <c r="D6" s="87" t="inlineStr">
        <is>
          <t>GENIVALDO DE OLIVEIRA MACEDO</t>
        </is>
      </c>
      <c r="E6" s="87" t="inlineStr">
        <is>
          <t>Azul</t>
        </is>
      </c>
      <c r="F6" s="87" t="inlineStr">
        <is>
          <t>Leticia</t>
        </is>
      </c>
      <c r="G6" s="87" t="inlineStr">
        <is>
          <t>F</t>
        </is>
      </c>
      <c r="H6" s="78" t="n">
        <v>5512988834956</v>
      </c>
      <c r="I6" s="87" t="inlineStr">
        <is>
          <t>Novo</t>
        </is>
      </c>
      <c r="J6" s="87" t="inlineStr">
        <is>
          <t>Assinado</t>
        </is>
      </c>
      <c r="K6" s="60" t="n">
        <v>46060</v>
      </c>
      <c r="L6" s="87">
        <f>TEXT(A6,"mmmm")</f>
        <v/>
      </c>
      <c r="N6" s="87" t="n"/>
      <c r="O6" s="87" t="n"/>
      <c r="P6" s="87" t="n"/>
      <c r="Q6" s="87" t="n"/>
      <c r="R6" s="87" t="n"/>
      <c r="S6" s="87" t="n"/>
      <c r="T6" s="87" t="n"/>
      <c r="U6" s="87" t="n"/>
    </row>
    <row r="7" s="83">
      <c r="A7" s="60" t="n">
        <v>46051</v>
      </c>
      <c r="B7" s="60" t="n">
        <v>46054</v>
      </c>
      <c r="C7" s="60" t="n">
        <v>46057</v>
      </c>
      <c r="D7" s="7" t="inlineStr">
        <is>
          <t>JOSE JOSMAR DE ALMEIDA</t>
        </is>
      </c>
      <c r="E7" s="87" t="inlineStr">
        <is>
          <t>Porto</t>
        </is>
      </c>
      <c r="F7" s="87" t="inlineStr">
        <is>
          <t>John</t>
        </is>
      </c>
      <c r="G7" s="87" t="inlineStr">
        <is>
          <t>M</t>
        </is>
      </c>
      <c r="H7" s="78" t="n">
        <v>5519982884978</v>
      </c>
      <c r="I7" s="87" t="inlineStr">
        <is>
          <t>Novo</t>
        </is>
      </c>
      <c r="J7" s="87" t="inlineStr">
        <is>
          <t>Assinado(manual)</t>
        </is>
      </c>
      <c r="K7" s="60" t="n">
        <v>46060</v>
      </c>
      <c r="L7" s="87">
        <f>TEXT(A7,"mmmm")</f>
        <v/>
      </c>
      <c r="N7" s="87" t="n"/>
      <c r="O7" s="87" t="n"/>
      <c r="P7" s="87" t="n"/>
      <c r="Q7" s="87" t="n"/>
      <c r="R7" s="87" t="n"/>
      <c r="S7" s="87" t="n"/>
      <c r="T7" s="87" t="n"/>
      <c r="U7" s="87" t="n"/>
      <c r="V7" s="87" t="n"/>
    </row>
    <row r="8" customFormat="1" s="21">
      <c r="A8" s="60" t="n">
        <v>46052</v>
      </c>
      <c r="B8" s="60" t="n">
        <v>46055</v>
      </c>
      <c r="C8" s="60" t="n">
        <v>46058</v>
      </c>
      <c r="D8" s="7" t="inlineStr">
        <is>
          <t>DAYTON RICARDO DA SILVA</t>
        </is>
      </c>
      <c r="E8" s="87" t="inlineStr">
        <is>
          <t>Suhai</t>
        </is>
      </c>
      <c r="F8" s="87" t="inlineStr">
        <is>
          <t>Isabella</t>
        </is>
      </c>
      <c r="G8" s="87" t="inlineStr">
        <is>
          <t>F</t>
        </is>
      </c>
      <c r="H8" s="78" t="n">
        <v>5511958878710</v>
      </c>
      <c r="I8" s="87" t="inlineStr">
        <is>
          <t>Novo</t>
        </is>
      </c>
      <c r="J8" s="87" t="inlineStr">
        <is>
          <t>Assinado</t>
        </is>
      </c>
      <c r="K8" s="60" t="n">
        <v>46061</v>
      </c>
      <c r="L8" s="87">
        <f>TEXT(A8,"mmmm")</f>
        <v/>
      </c>
      <c r="N8" s="87" t="n"/>
      <c r="O8" s="87" t="n"/>
      <c r="P8" s="87" t="n"/>
      <c r="Q8" s="87" t="n"/>
      <c r="R8" s="87" t="n"/>
      <c r="S8" s="87" t="n"/>
      <c r="T8" s="87" t="n"/>
      <c r="U8" s="87" t="n"/>
      <c r="V8" s="87" t="n"/>
    </row>
    <row r="9" s="83">
      <c r="A9" s="60" t="n">
        <v>46052</v>
      </c>
      <c r="B9" s="60" t="n">
        <v>46055</v>
      </c>
      <c r="C9" s="60" t="n">
        <v>46058</v>
      </c>
      <c r="D9" s="87" t="inlineStr">
        <is>
          <t>CLAUDIA BONATTI DE PAULA</t>
        </is>
      </c>
      <c r="E9" s="87" t="inlineStr">
        <is>
          <t>Azul</t>
        </is>
      </c>
      <c r="F9" s="87" t="inlineStr">
        <is>
          <t>Enzo</t>
        </is>
      </c>
      <c r="G9" s="87" t="inlineStr">
        <is>
          <t>M</t>
        </is>
      </c>
      <c r="H9" s="78" t="n">
        <v>5511958878710</v>
      </c>
      <c r="I9" s="87" t="inlineStr">
        <is>
          <t>Novo</t>
        </is>
      </c>
      <c r="J9" s="87" t="inlineStr">
        <is>
          <t>Assinado</t>
        </is>
      </c>
      <c r="K9" s="60" t="n">
        <v>46061</v>
      </c>
      <c r="L9" s="87">
        <f>TEXT(A9,"mmmm")</f>
        <v/>
      </c>
      <c r="N9" s="87" t="n"/>
      <c r="O9" s="87" t="n"/>
      <c r="P9" s="87" t="n"/>
      <c r="Q9" s="87" t="n"/>
      <c r="R9" s="87" t="n"/>
      <c r="S9" s="87" t="n"/>
      <c r="T9" s="87" t="n"/>
      <c r="U9" s="87" t="n"/>
      <c r="V9" s="87" t="n"/>
    </row>
    <row r="10" s="83">
      <c r="A10" s="60" t="n">
        <v>46052</v>
      </c>
      <c r="B10" s="60" t="n">
        <v>46055</v>
      </c>
      <c r="C10" s="60" t="n">
        <v>46058</v>
      </c>
      <c r="D10" s="87" t="inlineStr">
        <is>
          <t>SIDNEY DE SOUZA</t>
        </is>
      </c>
      <c r="E10" s="87" t="inlineStr">
        <is>
          <t>Azul</t>
        </is>
      </c>
      <c r="F10" s="87" t="inlineStr">
        <is>
          <t>Jacqueline</t>
        </is>
      </c>
      <c r="G10" s="87" t="inlineStr">
        <is>
          <t>F</t>
        </is>
      </c>
      <c r="H10" s="78" t="n">
        <v>5544998353393</v>
      </c>
      <c r="I10" s="87" t="inlineStr">
        <is>
          <t>Novo</t>
        </is>
      </c>
      <c r="J10" s="87" t="inlineStr">
        <is>
          <t>Assinado</t>
        </is>
      </c>
      <c r="K10" s="60" t="n">
        <v>46061</v>
      </c>
      <c r="L10" s="87">
        <f>TEXT(A10,"mmmm")</f>
        <v/>
      </c>
      <c r="N10" s="87" t="n"/>
      <c r="O10" s="87" t="n"/>
      <c r="P10" s="87" t="n"/>
      <c r="Q10" s="87" t="n"/>
      <c r="R10" s="87" t="n"/>
      <c r="S10" s="87" t="n"/>
      <c r="T10" s="87" t="n"/>
      <c r="U10" s="87" t="n"/>
      <c r="V10" s="87" t="n"/>
    </row>
    <row r="11" customFormat="1" s="87">
      <c r="A11" s="60" t="n">
        <v>46052</v>
      </c>
      <c r="B11" s="60" t="n">
        <v>46055</v>
      </c>
      <c r="C11" s="60" t="n">
        <v>46058</v>
      </c>
      <c r="D11" s="87" t="inlineStr">
        <is>
          <t xml:space="preserve">THIAGO REIS MATOS DE CHAGAS
</t>
        </is>
      </c>
      <c r="E11" s="87" t="inlineStr">
        <is>
          <t>Suhai</t>
        </is>
      </c>
      <c r="F11" s="87" t="inlineStr">
        <is>
          <t>John</t>
        </is>
      </c>
      <c r="G11" s="87" t="inlineStr">
        <is>
          <t>M</t>
        </is>
      </c>
      <c r="H11" s="78" t="n">
        <v>5511940803879</v>
      </c>
      <c r="I11" s="87" t="inlineStr">
        <is>
          <t>Novo</t>
        </is>
      </c>
      <c r="J11" s="87" t="inlineStr">
        <is>
          <t>Assinado</t>
        </is>
      </c>
      <c r="K11" s="60" t="n">
        <v>46061</v>
      </c>
      <c r="L11" s="87">
        <f>TEXT(A11,"mmmm")</f>
        <v/>
      </c>
      <c r="N11" s="87" t="n"/>
      <c r="O11" s="87" t="n"/>
      <c r="P11" s="87" t="n"/>
      <c r="Q11" s="87" t="n"/>
      <c r="R11" s="87" t="n"/>
      <c r="S11" s="87" t="n"/>
      <c r="T11" s="87" t="n"/>
      <c r="U11" s="87" t="n"/>
    </row>
    <row r="12" s="83">
      <c r="A12" s="60" t="n">
        <v>46052</v>
      </c>
      <c r="B12" s="60" t="n">
        <v>46055</v>
      </c>
      <c r="C12" s="60" t="n">
        <v>46058</v>
      </c>
      <c r="D12" s="87" t="inlineStr">
        <is>
          <t>JOELSON RODRIGUES DE SOUZA</t>
        </is>
      </c>
      <c r="E12" s="87" t="inlineStr">
        <is>
          <t>Azul</t>
        </is>
      </c>
      <c r="F12" s="87" t="inlineStr">
        <is>
          <t>Jacqueline</t>
        </is>
      </c>
      <c r="G12" s="87" t="inlineStr">
        <is>
          <t>F</t>
        </is>
      </c>
      <c r="H12" s="78" t="n">
        <v>5511949124252</v>
      </c>
      <c r="I12" s="87" t="inlineStr">
        <is>
          <t>Novo</t>
        </is>
      </c>
      <c r="J12" s="87" t="inlineStr">
        <is>
          <t>Assinado</t>
        </is>
      </c>
      <c r="K12" s="60" t="n">
        <v>46061</v>
      </c>
      <c r="L12" s="87">
        <f>TEXT(A12,"mmmm")</f>
        <v/>
      </c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</row>
    <row r="13" s="83">
      <c r="A13" s="60" t="n">
        <v>46055</v>
      </c>
      <c r="B13" s="60" t="n">
        <v>46058</v>
      </c>
      <c r="C13" s="60" t="n">
        <v>46061</v>
      </c>
      <c r="D13" s="87" t="inlineStr">
        <is>
          <t>ANTONIO ELIDONE DE SOUZA</t>
        </is>
      </c>
      <c r="E13" s="87" t="inlineStr">
        <is>
          <t>Azul</t>
        </is>
      </c>
      <c r="F13" s="87" t="inlineStr">
        <is>
          <t>Enzo</t>
        </is>
      </c>
      <c r="G13" s="87" t="inlineStr">
        <is>
          <t>M</t>
        </is>
      </c>
      <c r="H13" s="78" t="n"/>
      <c r="I13" s="87" t="n"/>
      <c r="J13" s="87" t="inlineStr">
        <is>
          <t>Assinado(manual)</t>
        </is>
      </c>
      <c r="K13" s="60" t="n">
        <v>46064</v>
      </c>
      <c r="L13" s="87">
        <f>TEXT(A13,"mmmm")</f>
        <v/>
      </c>
      <c r="N13" s="87" t="n"/>
      <c r="O13" s="87" t="n"/>
      <c r="P13" s="87" t="n"/>
      <c r="Q13" s="87" t="n"/>
      <c r="R13" s="87" t="n"/>
      <c r="S13" s="87" t="n"/>
      <c r="T13" s="87" t="n"/>
      <c r="U13" s="87" t="n"/>
      <c r="V13" s="87" t="n"/>
    </row>
    <row r="14" ht="15" customFormat="1" customHeight="1" s="87">
      <c r="A14" s="60" t="n">
        <v>46055</v>
      </c>
      <c r="B14" s="60" t="n">
        <v>46058</v>
      </c>
      <c r="C14" s="60" t="n">
        <v>46061</v>
      </c>
      <c r="D14" s="87" t="inlineStr">
        <is>
          <t>SERGIO DE VASCONCELLOS</t>
        </is>
      </c>
      <c r="E14" s="87" t="inlineStr">
        <is>
          <t>Tokio</t>
        </is>
      </c>
      <c r="F14" s="87" t="inlineStr">
        <is>
          <t>Enzo</t>
        </is>
      </c>
      <c r="G14" s="87" t="inlineStr">
        <is>
          <t>M</t>
        </is>
      </c>
      <c r="H14" s="78" t="n"/>
      <c r="J14" s="87" t="inlineStr">
        <is>
          <t>Assinado</t>
        </is>
      </c>
      <c r="K14" s="60" t="n">
        <v>46064</v>
      </c>
      <c r="L14" s="87">
        <f>TEXT(A14,"mmmm")</f>
        <v/>
      </c>
      <c r="N14" s="87" t="n"/>
      <c r="O14" s="87" t="n"/>
      <c r="P14" s="87" t="n"/>
      <c r="Q14" s="87" t="n"/>
      <c r="R14" s="87" t="n"/>
      <c r="S14" s="87" t="n"/>
      <c r="T14" s="87" t="n"/>
      <c r="U14" s="87" t="n"/>
    </row>
    <row r="15" ht="15" customHeight="1" s="83">
      <c r="A15" s="60" t="n">
        <v>46055</v>
      </c>
      <c r="B15" s="60" t="n">
        <v>46058</v>
      </c>
      <c r="C15" s="60" t="n">
        <v>46061</v>
      </c>
      <c r="D15" s="87" t="inlineStr">
        <is>
          <t>ERIVAN DA CONCEICAO</t>
        </is>
      </c>
      <c r="E15" s="87" t="inlineStr">
        <is>
          <t>Azul</t>
        </is>
      </c>
      <c r="F15" s="87" t="inlineStr">
        <is>
          <t>Isabella</t>
        </is>
      </c>
      <c r="G15" s="87" t="inlineStr">
        <is>
          <t>F</t>
        </is>
      </c>
      <c r="H15" s="78" t="n"/>
      <c r="J15" s="87" t="inlineStr">
        <is>
          <t>Assinado</t>
        </is>
      </c>
      <c r="K15" s="60" t="n">
        <v>46064</v>
      </c>
      <c r="L15" s="87">
        <f>TEXT(A15,"mmmm")</f>
        <v/>
      </c>
      <c r="O15" s="87" t="n"/>
      <c r="P15" s="87" t="n"/>
      <c r="Q15" s="87" t="n"/>
      <c r="R15" s="87" t="n"/>
      <c r="S15" s="87" t="n"/>
      <c r="T15" s="87" t="n"/>
      <c r="U15" s="87" t="n"/>
    </row>
    <row r="16">
      <c r="A16" s="60" t="n">
        <v>46056</v>
      </c>
      <c r="B16" s="60" t="n">
        <v>46059</v>
      </c>
      <c r="C16" s="60" t="n">
        <v>46062</v>
      </c>
      <c r="D16" s="87" t="inlineStr">
        <is>
          <t>JOSE RAIMUNDO ALVES ALMEIDA</t>
        </is>
      </c>
      <c r="E16" s="87" t="inlineStr">
        <is>
          <t>Suhai</t>
        </is>
      </c>
      <c r="F16" s="87" t="inlineStr">
        <is>
          <t>Leticia</t>
        </is>
      </c>
      <c r="G16" s="87" t="inlineStr">
        <is>
          <t>F</t>
        </is>
      </c>
      <c r="H16" s="78" t="n"/>
      <c r="J16" s="87" t="inlineStr">
        <is>
          <t>Cancelado</t>
        </is>
      </c>
      <c r="K16" s="60" t="n">
        <v>46065</v>
      </c>
      <c r="L16" s="87">
        <f>TEXT(A16,"mmmm")</f>
        <v/>
      </c>
      <c r="O16" s="87" t="n"/>
      <c r="P16" s="87" t="n"/>
      <c r="Q16" s="87" t="n"/>
      <c r="R16" s="87" t="n"/>
      <c r="S16" s="87" t="n"/>
      <c r="T16" s="87" t="n"/>
      <c r="U16" s="87" t="n"/>
    </row>
    <row r="17" s="83">
      <c r="A17" s="60" t="n">
        <v>46056</v>
      </c>
      <c r="B17" s="60" t="n">
        <v>46059</v>
      </c>
      <c r="C17" s="60" t="n">
        <v>46062</v>
      </c>
      <c r="D17" s="87" t="inlineStr">
        <is>
          <t>JOSE EDUARDO SANTOS DE SOUZA</t>
        </is>
      </c>
      <c r="E17" s="87" t="inlineStr">
        <is>
          <t>Mapfre</t>
        </is>
      </c>
      <c r="F17" s="87" t="inlineStr">
        <is>
          <t>Leticia</t>
        </is>
      </c>
      <c r="G17" s="87" t="inlineStr">
        <is>
          <t>F</t>
        </is>
      </c>
      <c r="H17" s="78" t="n"/>
      <c r="I17" s="87" t="n"/>
      <c r="J17" s="87" t="inlineStr">
        <is>
          <t>Cancelado</t>
        </is>
      </c>
      <c r="K17" s="60" t="n">
        <v>46065</v>
      </c>
      <c r="L17" s="87">
        <f>TEXT(A17,"mmmm")</f>
        <v/>
      </c>
      <c r="N17" s="87" t="n"/>
      <c r="O17" s="87" t="n"/>
      <c r="P17" s="87" t="n"/>
      <c r="Q17" s="87" t="n"/>
      <c r="R17" s="87" t="n"/>
      <c r="S17" s="87" t="n"/>
      <c r="T17" s="87" t="n"/>
      <c r="U17" s="87" t="n"/>
    </row>
    <row r="18" s="83">
      <c r="A18" s="60" t="n">
        <v>46056</v>
      </c>
      <c r="B18" s="60" t="n">
        <v>46059</v>
      </c>
      <c r="C18" s="60" t="n">
        <v>46062</v>
      </c>
      <c r="D18" s="87" t="inlineStr">
        <is>
          <t>EDINEIS TEODORO NEVES ALMEIDA</t>
        </is>
      </c>
      <c r="E18" s="87" t="inlineStr">
        <is>
          <t>Azul</t>
        </is>
      </c>
      <c r="F18" s="87" t="inlineStr">
        <is>
          <t>Myrelle</t>
        </is>
      </c>
      <c r="G18" s="87" t="inlineStr">
        <is>
          <t>F</t>
        </is>
      </c>
      <c r="H18" s="78" t="n"/>
      <c r="I18" s="87" t="n"/>
      <c r="J18" s="87" t="inlineStr">
        <is>
          <t>Assinado</t>
        </is>
      </c>
      <c r="K18" s="60" t="n">
        <v>46065</v>
      </c>
      <c r="L18" s="87">
        <f>TEXT(A18,"mmmm")</f>
        <v/>
      </c>
      <c r="N18" s="87" t="n"/>
      <c r="O18" s="87" t="n"/>
      <c r="P18" s="87" t="n"/>
      <c r="Q18" s="87" t="n"/>
      <c r="R18" s="87" t="n"/>
      <c r="S18" s="87" t="n"/>
      <c r="T18" s="87" t="n"/>
      <c r="U18" s="87" t="n"/>
    </row>
    <row r="19">
      <c r="A19" s="60" t="n">
        <v>46056</v>
      </c>
      <c r="B19" s="60" t="n">
        <v>46059</v>
      </c>
      <c r="C19" s="60" t="n">
        <v>46062</v>
      </c>
      <c r="D19" s="87" t="inlineStr">
        <is>
          <t>SEBASTIAO PEREIRA</t>
        </is>
      </c>
      <c r="E19" s="87" t="inlineStr">
        <is>
          <t>Tokio</t>
        </is>
      </c>
      <c r="F19" s="87" t="inlineStr">
        <is>
          <t>Jacqueline</t>
        </is>
      </c>
      <c r="G19" s="87" t="inlineStr">
        <is>
          <t>F</t>
        </is>
      </c>
      <c r="H19" s="78" t="n"/>
      <c r="J19" s="87" t="inlineStr">
        <is>
          <t>Assinado(manual)</t>
        </is>
      </c>
      <c r="K19" s="60" t="n">
        <v>46065</v>
      </c>
      <c r="L19" s="87">
        <f>TEXT(A19,"mmmm")</f>
        <v/>
      </c>
      <c r="O19" s="87" t="n"/>
      <c r="P19" s="87" t="n"/>
      <c r="Q19" s="87" t="n"/>
      <c r="R19" s="87" t="n"/>
      <c r="S19" s="87" t="n"/>
      <c r="T19" s="87" t="n"/>
      <c r="U19" s="87" t="n"/>
    </row>
    <row r="20">
      <c r="A20" s="60" t="n">
        <v>46056</v>
      </c>
      <c r="B20" s="60" t="n">
        <v>46059</v>
      </c>
      <c r="C20" s="60" t="n">
        <v>46062</v>
      </c>
      <c r="D20" s="87" t="inlineStr">
        <is>
          <t>VALDIR MARIA DE JESUS</t>
        </is>
      </c>
      <c r="E20" s="87" t="inlineStr">
        <is>
          <t>Azul</t>
        </is>
      </c>
      <c r="F20" s="87" t="inlineStr">
        <is>
          <t>Jacqueline</t>
        </is>
      </c>
      <c r="G20" s="87" t="inlineStr">
        <is>
          <t>F</t>
        </is>
      </c>
      <c r="H20" s="78" t="n"/>
      <c r="J20" s="87" t="inlineStr">
        <is>
          <t>Assinado</t>
        </is>
      </c>
      <c r="K20" s="60" t="n">
        <v>46065</v>
      </c>
      <c r="L20" s="87">
        <f>TEXT(A20,"mmmm")</f>
        <v/>
      </c>
      <c r="O20" s="87" t="n"/>
      <c r="P20" s="87" t="n"/>
      <c r="Q20" s="87" t="n"/>
      <c r="R20" s="87" t="n"/>
      <c r="S20" s="87" t="n"/>
      <c r="T20" s="87" t="n"/>
      <c r="U20" s="87" t="n"/>
    </row>
    <row r="21" s="83">
      <c r="A21" s="60" t="n">
        <v>46056</v>
      </c>
      <c r="B21" s="60" t="n">
        <v>46059</v>
      </c>
      <c r="C21" s="60" t="n">
        <v>46062</v>
      </c>
      <c r="D21" s="87" t="inlineStr">
        <is>
          <t>CRISTIANE OLIVEIRA SOUZA</t>
        </is>
      </c>
      <c r="E21" s="87" t="inlineStr">
        <is>
          <t>Suhai</t>
        </is>
      </c>
      <c r="F21" s="87" t="inlineStr">
        <is>
          <t>Jacqueline</t>
        </is>
      </c>
      <c r="G21" s="87" t="inlineStr">
        <is>
          <t>F</t>
        </is>
      </c>
      <c r="H21" s="78" t="n"/>
      <c r="I21" s="87" t="n"/>
      <c r="J21" s="87" t="inlineStr">
        <is>
          <t>Assinado</t>
        </is>
      </c>
      <c r="K21" s="60" t="n">
        <v>46065</v>
      </c>
      <c r="L21" s="87">
        <f>TEXT(A21,"mmmm")</f>
        <v/>
      </c>
      <c r="N21" s="87" t="n"/>
      <c r="O21" s="87" t="n"/>
      <c r="P21" s="87" t="n"/>
      <c r="Q21" s="87" t="n"/>
      <c r="R21" s="87" t="n"/>
      <c r="S21" s="87" t="n"/>
      <c r="T21" s="87" t="n"/>
      <c r="U21" s="87" t="n"/>
    </row>
    <row r="22">
      <c r="A22" s="60" t="n">
        <v>46056</v>
      </c>
      <c r="B22" s="60" t="n">
        <v>46059</v>
      </c>
      <c r="C22" s="60" t="n">
        <v>46062</v>
      </c>
      <c r="D22" s="87" t="inlineStr">
        <is>
          <t>JOSE EDUARDO GASPAROTI</t>
        </is>
      </c>
      <c r="E22" s="87" t="inlineStr">
        <is>
          <t>Mapfre</t>
        </is>
      </c>
      <c r="F22" s="87" t="inlineStr">
        <is>
          <t>John</t>
        </is>
      </c>
      <c r="G22" s="87" t="inlineStr">
        <is>
          <t>M</t>
        </is>
      </c>
      <c r="H22" s="78" t="n"/>
      <c r="I22" s="87" t="n"/>
      <c r="J22" s="87" t="inlineStr">
        <is>
          <t>Assinado</t>
        </is>
      </c>
      <c r="K22" s="60" t="n">
        <v>46065</v>
      </c>
      <c r="L22" s="87">
        <f>TEXT(A22,"mmmm")</f>
        <v/>
      </c>
      <c r="O22" s="87" t="n"/>
      <c r="P22" s="87" t="n"/>
      <c r="Q22" s="87" t="n"/>
      <c r="R22" s="87" t="n"/>
      <c r="S22" s="87" t="n"/>
      <c r="T22" s="87" t="n"/>
      <c r="U22" s="87" t="n"/>
    </row>
    <row r="23" s="83">
      <c r="A23" s="60" t="n">
        <v>46056</v>
      </c>
      <c r="B23" s="60" t="n">
        <v>46059</v>
      </c>
      <c r="C23" s="60" t="n">
        <v>46062</v>
      </c>
      <c r="D23" s="87" t="inlineStr">
        <is>
          <t>PAOLI E LEIROS COMERCIO DE ALIMENTOS LTDA</t>
        </is>
      </c>
      <c r="E23" s="87" t="inlineStr">
        <is>
          <t>Porto</t>
        </is>
      </c>
      <c r="F23" s="87" t="inlineStr">
        <is>
          <t>John</t>
        </is>
      </c>
      <c r="G23" s="87" t="inlineStr">
        <is>
          <t>M</t>
        </is>
      </c>
      <c r="H23" s="78" t="n"/>
      <c r="I23" s="87" t="n"/>
      <c r="J23" s="87" t="inlineStr">
        <is>
          <t>Assinado</t>
        </is>
      </c>
      <c r="K23" s="60" t="n">
        <v>46065</v>
      </c>
      <c r="L23" s="87">
        <f>TEXT(A23,"mmmm")</f>
        <v/>
      </c>
      <c r="N23" s="87" t="n"/>
      <c r="O23" s="87" t="n"/>
      <c r="P23" s="87" t="n"/>
      <c r="Q23" s="87" t="n"/>
      <c r="R23" s="87" t="n"/>
      <c r="S23" s="87" t="n"/>
      <c r="T23" s="87" t="n"/>
      <c r="U23" s="87" t="n"/>
      <c r="X23" s="87" t="n"/>
      <c r="Y23" s="87" t="n"/>
    </row>
    <row r="24" s="83">
      <c r="A24" s="60" t="n">
        <v>46056</v>
      </c>
      <c r="B24" s="60" t="n">
        <v>46059</v>
      </c>
      <c r="C24" s="60" t="n">
        <v>46062</v>
      </c>
      <c r="D24" s="87" t="inlineStr">
        <is>
          <t>EDUARDO LUIS OLIBONI BASTOS</t>
        </is>
      </c>
      <c r="E24" s="87" t="inlineStr">
        <is>
          <t>Allianz</t>
        </is>
      </c>
      <c r="F24" s="87" t="inlineStr">
        <is>
          <t>John</t>
        </is>
      </c>
      <c r="G24" s="87" t="inlineStr">
        <is>
          <t>M</t>
        </is>
      </c>
      <c r="H24" s="78" t="n"/>
      <c r="I24" s="87" t="n"/>
      <c r="J24" s="87" t="inlineStr">
        <is>
          <t>Assinado(manual)</t>
        </is>
      </c>
      <c r="K24" s="60" t="n">
        <v>46065</v>
      </c>
      <c r="L24" s="87">
        <f>TEXT(A24,"mmmm")</f>
        <v/>
      </c>
      <c r="N24" s="87" t="n"/>
      <c r="O24" s="87" t="n"/>
      <c r="P24" s="87" t="n"/>
      <c r="Q24" s="87" t="n"/>
      <c r="R24" s="87" t="n"/>
      <c r="S24" s="87" t="n"/>
      <c r="T24" s="87" t="n"/>
      <c r="U24" s="87" t="n"/>
      <c r="X24" s="87" t="n"/>
      <c r="Y24" s="87" t="n"/>
    </row>
    <row r="25">
      <c r="A25" s="60" t="n">
        <v>46056</v>
      </c>
      <c r="B25" s="60" t="n">
        <v>46059</v>
      </c>
      <c r="C25" s="60" t="n">
        <v>46062</v>
      </c>
      <c r="D25" s="87" t="inlineStr">
        <is>
          <t>PLINIO MARCOS FERRARI</t>
        </is>
      </c>
      <c r="E25" s="87" t="inlineStr">
        <is>
          <t>Zurich</t>
        </is>
      </c>
      <c r="F25" s="87" t="inlineStr">
        <is>
          <t>Enzo</t>
        </is>
      </c>
      <c r="G25" s="87" t="inlineStr">
        <is>
          <t>M</t>
        </is>
      </c>
      <c r="H25" s="78" t="n"/>
      <c r="I25" s="87" t="n"/>
      <c r="J25" s="87" t="inlineStr">
        <is>
          <t>Na planilha</t>
        </is>
      </c>
      <c r="K25" s="60" t="n">
        <v>46065</v>
      </c>
      <c r="L25" s="87">
        <f>TEXT(A25,"mmmm")</f>
        <v/>
      </c>
      <c r="O25" s="87" t="n"/>
      <c r="P25" s="87" t="n"/>
      <c r="Q25" s="87" t="n"/>
      <c r="R25" s="87" t="n"/>
      <c r="S25" s="87" t="n"/>
      <c r="T25" s="87" t="n"/>
      <c r="U25" s="87" t="n"/>
    </row>
    <row r="26">
      <c r="A26" s="60" t="n">
        <v>46056</v>
      </c>
      <c r="B26" s="60" t="n">
        <v>46059</v>
      </c>
      <c r="C26" s="60" t="n">
        <v>46062</v>
      </c>
      <c r="D26" s="87" t="inlineStr">
        <is>
          <t>EDUARDO ATSUSHI KAWAI</t>
        </is>
      </c>
      <c r="E26" s="87" t="inlineStr">
        <is>
          <t>Tokio</t>
        </is>
      </c>
      <c r="F26" s="87" t="inlineStr">
        <is>
          <t>Enzo</t>
        </is>
      </c>
      <c r="G26" s="87" t="inlineStr">
        <is>
          <t>M</t>
        </is>
      </c>
      <c r="H26" s="78" t="n"/>
      <c r="I26" s="87" t="n"/>
      <c r="J26" s="87" t="inlineStr">
        <is>
          <t>Assinado</t>
        </is>
      </c>
      <c r="K26" s="60" t="n">
        <v>46065</v>
      </c>
      <c r="L26" s="87">
        <f>TEXT(A26,"mmmm")</f>
        <v/>
      </c>
      <c r="O26" s="87" t="n"/>
      <c r="P26" s="87" t="n"/>
      <c r="Q26" s="87" t="n"/>
      <c r="R26" s="87" t="n"/>
      <c r="S26" s="87" t="n"/>
      <c r="T26" s="87" t="n"/>
      <c r="U26" s="87" t="n"/>
    </row>
    <row r="27">
      <c r="A27" s="60" t="n">
        <v>46056</v>
      </c>
      <c r="B27" s="60" t="n">
        <v>46059</v>
      </c>
      <c r="C27" s="60" t="n">
        <v>46062</v>
      </c>
      <c r="D27" s="87" t="inlineStr">
        <is>
          <t>ANDRE LUIZ FERREIRA</t>
        </is>
      </c>
      <c r="E27" s="87" t="inlineStr">
        <is>
          <t>Azul</t>
        </is>
      </c>
      <c r="F27" s="87" t="inlineStr">
        <is>
          <t>Enzo</t>
        </is>
      </c>
      <c r="G27" s="87" t="inlineStr">
        <is>
          <t>M</t>
        </is>
      </c>
      <c r="H27" s="78" t="n"/>
      <c r="I27" s="87" t="n"/>
      <c r="J27" s="87" t="inlineStr">
        <is>
          <t>Assinado</t>
        </is>
      </c>
      <c r="K27" s="60" t="n">
        <v>46065</v>
      </c>
      <c r="L27" s="87">
        <f>TEXT(A27,"mmmm")</f>
        <v/>
      </c>
      <c r="O27" s="87" t="n"/>
      <c r="P27" s="87" t="n"/>
      <c r="Q27" s="87" t="n"/>
      <c r="R27" s="87" t="n"/>
      <c r="S27" s="87" t="n"/>
      <c r="T27" s="87" t="n"/>
      <c r="U27" s="87" t="n"/>
    </row>
    <row r="28" ht="15" customHeight="1" s="83">
      <c r="A28" s="60" t="n">
        <v>46056</v>
      </c>
      <c r="B28" s="60" t="n">
        <v>46059</v>
      </c>
      <c r="C28" s="60" t="n">
        <v>46062</v>
      </c>
      <c r="D28" s="87" t="inlineStr">
        <is>
          <t>ANDRE LUIZ FERREIRA</t>
        </is>
      </c>
      <c r="E28" s="87" t="inlineStr">
        <is>
          <t>Suhai</t>
        </is>
      </c>
      <c r="F28" s="87" t="inlineStr">
        <is>
          <t>Enzo</t>
        </is>
      </c>
      <c r="G28" s="87" t="inlineStr">
        <is>
          <t>M</t>
        </is>
      </c>
      <c r="H28" s="78" t="n"/>
      <c r="I28" s="87" t="n"/>
      <c r="J28" s="87" t="inlineStr">
        <is>
          <t>Assinado</t>
        </is>
      </c>
      <c r="K28" s="60" t="n">
        <v>46065</v>
      </c>
      <c r="L28" s="87">
        <f>TEXT(A28,"mmmm")</f>
        <v/>
      </c>
      <c r="N28" s="87" t="n"/>
      <c r="O28" s="87" t="n"/>
      <c r="P28" s="87" t="n"/>
      <c r="Q28" s="87" t="n"/>
      <c r="R28" s="87" t="n"/>
      <c r="S28" s="87" t="n"/>
      <c r="T28" s="87" t="n"/>
      <c r="U28" s="87" t="n"/>
      <c r="X28" s="87" t="n"/>
      <c r="Y28" s="87" t="n"/>
    </row>
    <row r="29">
      <c r="A29" s="60" t="n">
        <v>46056</v>
      </c>
      <c r="B29" s="60" t="n">
        <v>46059</v>
      </c>
      <c r="C29" s="60" t="n">
        <v>46062</v>
      </c>
      <c r="D29" s="87" t="inlineStr">
        <is>
          <t>RAQUEL DIAS DE ARAUJO</t>
        </is>
      </c>
      <c r="E29" s="87" t="inlineStr">
        <is>
          <t>Suhai</t>
        </is>
      </c>
      <c r="F29" s="87" t="inlineStr">
        <is>
          <t>Enzo</t>
        </is>
      </c>
      <c r="G29" s="87" t="inlineStr">
        <is>
          <t>M</t>
        </is>
      </c>
      <c r="H29" s="78" t="n"/>
      <c r="I29" s="87" t="n"/>
      <c r="J29" s="87" t="inlineStr">
        <is>
          <t>Assinado</t>
        </is>
      </c>
      <c r="K29" s="60" t="n">
        <v>46065</v>
      </c>
      <c r="L29" s="87">
        <f>TEXT(A29,"mmmm")</f>
        <v/>
      </c>
      <c r="O29" s="87" t="n"/>
      <c r="P29" s="87" t="n"/>
      <c r="Q29" s="87" t="n"/>
      <c r="R29" s="87" t="n"/>
      <c r="S29" s="87" t="n"/>
      <c r="T29" s="87" t="n"/>
      <c r="U29" s="87" t="n"/>
    </row>
    <row r="30" ht="15" customHeight="1" s="83">
      <c r="A30" s="60" t="n">
        <v>46057</v>
      </c>
      <c r="B30" s="60" t="n">
        <v>46060</v>
      </c>
      <c r="C30" s="60" t="n">
        <v>46063</v>
      </c>
      <c r="D30" s="87" t="inlineStr">
        <is>
          <t>CESAR SALVINO DO NASCIMENTO</t>
        </is>
      </c>
      <c r="E30" s="87" t="inlineStr">
        <is>
          <t>Suhai</t>
        </is>
      </c>
      <c r="F30" s="87" t="inlineStr">
        <is>
          <t>John</t>
        </is>
      </c>
      <c r="G30" s="87" t="inlineStr">
        <is>
          <t>M</t>
        </is>
      </c>
      <c r="H30" s="78" t="n"/>
      <c r="I30" s="87" t="n"/>
      <c r="J30" s="87" t="inlineStr">
        <is>
          <t>Assinado</t>
        </is>
      </c>
      <c r="K30" s="60" t="n">
        <v>46066</v>
      </c>
      <c r="L30" s="87">
        <f>TEXT(A30,"mmmm")</f>
        <v/>
      </c>
      <c r="O30" s="87" t="n"/>
      <c r="P30" s="87" t="n"/>
      <c r="Q30" s="87" t="n"/>
      <c r="R30" s="87" t="n"/>
      <c r="S30" s="87" t="n"/>
      <c r="T30" s="87" t="n"/>
      <c r="U30" s="87" t="n"/>
    </row>
    <row r="31" ht="15" customFormat="1" customHeight="1" s="87">
      <c r="A31" s="60" t="n">
        <v>46057</v>
      </c>
      <c r="B31" s="60" t="n">
        <v>46060</v>
      </c>
      <c r="C31" s="60" t="n">
        <v>46063</v>
      </c>
      <c r="D31" s="7" t="inlineStr">
        <is>
          <t>ARLINDA VENANCIO DE MELO</t>
        </is>
      </c>
      <c r="E31" s="87" t="inlineStr">
        <is>
          <t>Tokio</t>
        </is>
      </c>
      <c r="F31" s="87" t="inlineStr">
        <is>
          <t>John</t>
        </is>
      </c>
      <c r="G31" s="87" t="inlineStr">
        <is>
          <t>M</t>
        </is>
      </c>
      <c r="H31" s="75" t="n"/>
      <c r="I31" s="87" t="n"/>
      <c r="J31" s="87" t="inlineStr">
        <is>
          <t>Na planilha</t>
        </is>
      </c>
      <c r="K31" s="60" t="n">
        <v>46066</v>
      </c>
      <c r="L31" s="87">
        <f>TEXT(A31,"mmmm")</f>
        <v/>
      </c>
    </row>
    <row r="32" s="83">
      <c r="A32" s="60" t="n">
        <v>46057</v>
      </c>
      <c r="B32" s="60" t="n">
        <v>46060</v>
      </c>
      <c r="C32" s="60" t="n">
        <v>46063</v>
      </c>
      <c r="D32" s="87" t="inlineStr">
        <is>
          <t>MARGOS EDUARDO GIMENES PENESSOR</t>
        </is>
      </c>
      <c r="E32" s="87" t="inlineStr">
        <is>
          <t>Porto</t>
        </is>
      </c>
      <c r="F32" s="87" t="inlineStr">
        <is>
          <t>Leticia</t>
        </is>
      </c>
      <c r="G32" s="87" t="inlineStr">
        <is>
          <t>F</t>
        </is>
      </c>
      <c r="H32" s="78" t="n"/>
      <c r="I32" s="87" t="n"/>
      <c r="J32" s="87" t="inlineStr">
        <is>
          <t>Assinado</t>
        </is>
      </c>
      <c r="K32" s="60" t="n">
        <v>46066</v>
      </c>
      <c r="L32" s="87">
        <f>TEXT(A32,"mmmm")</f>
        <v/>
      </c>
      <c r="N32" s="87" t="n"/>
      <c r="O32" s="87" t="n"/>
      <c r="P32" s="87" t="n"/>
      <c r="Q32" s="87" t="n"/>
      <c r="R32" s="87" t="n"/>
      <c r="S32" s="87" t="n"/>
      <c r="T32" s="87" t="n"/>
      <c r="U32" s="87" t="n"/>
      <c r="X32" s="87" t="n"/>
      <c r="Y32" s="87" t="n"/>
    </row>
    <row r="33" ht="15" customHeight="1" s="83">
      <c r="A33" s="60" t="n">
        <v>46057</v>
      </c>
      <c r="B33" s="60" t="n">
        <v>46060</v>
      </c>
      <c r="C33" s="60" t="n">
        <v>46063</v>
      </c>
      <c r="D33" s="87" t="inlineStr">
        <is>
          <t>GILMAR PEREIRA DA SILVA</t>
        </is>
      </c>
      <c r="E33" s="87" t="inlineStr">
        <is>
          <t>Azul</t>
        </is>
      </c>
      <c r="F33" s="87" t="inlineStr">
        <is>
          <t>Leticia</t>
        </is>
      </c>
      <c r="G33" s="87" t="inlineStr">
        <is>
          <t>F</t>
        </is>
      </c>
      <c r="H33" s="78" t="n"/>
      <c r="I33" s="87" t="n"/>
      <c r="J33" s="87" t="inlineStr">
        <is>
          <t>Assinado</t>
        </is>
      </c>
      <c r="K33" s="60" t="n">
        <v>46066</v>
      </c>
      <c r="L33" s="87">
        <f>TEXT(A33,"mmmm")</f>
        <v/>
      </c>
      <c r="O33" s="87" t="n"/>
      <c r="P33" s="87" t="n"/>
      <c r="Q33" s="87" t="n"/>
      <c r="R33" s="87" t="n"/>
      <c r="S33" s="87" t="n"/>
      <c r="T33" s="87" t="n"/>
      <c r="U33" s="87" t="n"/>
    </row>
    <row r="34" s="83">
      <c r="A34" s="60" t="n">
        <v>46057</v>
      </c>
      <c r="B34" s="60" t="n">
        <v>46060</v>
      </c>
      <c r="C34" s="60" t="n">
        <v>46063</v>
      </c>
      <c r="D34" s="87" t="inlineStr">
        <is>
          <t>ALEX GOMES DE LIMA</t>
        </is>
      </c>
      <c r="E34" s="87" t="inlineStr">
        <is>
          <t>Suhai</t>
        </is>
      </c>
      <c r="F34" s="87" t="inlineStr">
        <is>
          <t>Jacqueline</t>
        </is>
      </c>
      <c r="G34" s="87" t="inlineStr">
        <is>
          <t>F</t>
        </is>
      </c>
      <c r="H34" s="78" t="n"/>
      <c r="I34" s="87" t="n"/>
      <c r="J34" s="87" t="inlineStr">
        <is>
          <t>Na planilha</t>
        </is>
      </c>
      <c r="K34" s="60" t="n">
        <v>46066</v>
      </c>
      <c r="L34" s="87">
        <f>TEXT(A34,"mmmm")</f>
        <v/>
      </c>
      <c r="N34" s="87" t="n"/>
      <c r="O34" s="87" t="n"/>
      <c r="P34" s="87" t="n"/>
      <c r="Q34" s="87" t="n"/>
      <c r="R34" s="87" t="n"/>
      <c r="S34" s="87" t="n"/>
      <c r="T34" s="87" t="n"/>
      <c r="U34" s="87" t="n"/>
      <c r="X34" s="87" t="n"/>
      <c r="Y34" s="87" t="n"/>
    </row>
    <row r="35" s="83">
      <c r="A35" s="60" t="n">
        <v>46057</v>
      </c>
      <c r="B35" s="60" t="n">
        <v>46060</v>
      </c>
      <c r="C35" s="60" t="n">
        <v>46063</v>
      </c>
      <c r="D35" s="87" t="inlineStr">
        <is>
          <t>LUIS ANTONIO MACHADO</t>
        </is>
      </c>
      <c r="E35" s="87" t="inlineStr">
        <is>
          <t>Azul</t>
        </is>
      </c>
      <c r="F35" s="87" t="inlineStr">
        <is>
          <t>Isabella</t>
        </is>
      </c>
      <c r="G35" s="87" t="inlineStr">
        <is>
          <t>F</t>
        </is>
      </c>
      <c r="H35" s="78" t="n"/>
      <c r="I35" s="87" t="n"/>
      <c r="J35" s="87" t="inlineStr">
        <is>
          <t>Pendente</t>
        </is>
      </c>
      <c r="K35" s="60" t="n">
        <v>46066</v>
      </c>
      <c r="L35" s="87">
        <f>TEXT(A35,"mmmm")</f>
        <v/>
      </c>
      <c r="N35" s="87" t="n"/>
      <c r="O35" s="87" t="n"/>
      <c r="P35" s="87" t="n"/>
      <c r="Q35" s="87" t="n"/>
      <c r="R35" s="87" t="n"/>
      <c r="S35" s="87" t="n"/>
      <c r="T35" s="87" t="n"/>
      <c r="U35" s="87" t="n"/>
      <c r="X35" s="87" t="n"/>
      <c r="Y35" s="87" t="n"/>
    </row>
    <row r="36" ht="15" customHeight="1" s="83">
      <c r="A36" s="60" t="n">
        <v>46057</v>
      </c>
      <c r="B36" s="60" t="n">
        <v>46060</v>
      </c>
      <c r="C36" s="60" t="n">
        <v>46063</v>
      </c>
      <c r="D36" s="87" t="inlineStr">
        <is>
          <t>PEDRO HENRIQUE SILVA ALVES</t>
        </is>
      </c>
      <c r="E36" s="87" t="inlineStr">
        <is>
          <t>Tokio</t>
        </is>
      </c>
      <c r="F36" s="87" t="inlineStr">
        <is>
          <t>Isabella</t>
        </is>
      </c>
      <c r="G36" s="87" t="inlineStr">
        <is>
          <t>F</t>
        </is>
      </c>
      <c r="H36" s="78" t="n"/>
      <c r="I36" s="87" t="n"/>
      <c r="J36" s="87" t="inlineStr">
        <is>
          <t>Pendente</t>
        </is>
      </c>
      <c r="K36" s="60" t="n">
        <v>46066</v>
      </c>
      <c r="L36" s="87">
        <f>TEXT(A36,"mmmm")</f>
        <v/>
      </c>
      <c r="O36" s="87" t="n"/>
      <c r="P36" s="87" t="n"/>
      <c r="Q36" s="87" t="n"/>
      <c r="R36" s="87" t="n"/>
      <c r="S36" s="87" t="n"/>
      <c r="T36" s="87" t="n"/>
      <c r="U36" s="87" t="n"/>
    </row>
    <row r="37" ht="15" customHeight="1" s="83">
      <c r="A37" s="60" t="n">
        <v>46057</v>
      </c>
      <c r="B37" s="60" t="n">
        <v>46060</v>
      </c>
      <c r="C37" s="60" t="n">
        <v>46063</v>
      </c>
      <c r="D37" s="87" t="inlineStr">
        <is>
          <t>VALDIR CORREA</t>
        </is>
      </c>
      <c r="E37" s="87" t="inlineStr">
        <is>
          <t>Azul</t>
        </is>
      </c>
      <c r="F37" s="87" t="inlineStr">
        <is>
          <t>Valéria</t>
        </is>
      </c>
      <c r="G37" s="87" t="inlineStr">
        <is>
          <t>M</t>
        </is>
      </c>
      <c r="H37" s="78" t="n"/>
      <c r="I37" s="87" t="n"/>
      <c r="J37" s="87" t="inlineStr">
        <is>
          <t>Pendente</t>
        </is>
      </c>
      <c r="K37" s="60" t="n">
        <v>46066</v>
      </c>
      <c r="L37" s="87">
        <f>TEXT(A37,"mmmm")</f>
        <v/>
      </c>
      <c r="O37" s="87" t="n"/>
      <c r="P37" s="87" t="n"/>
      <c r="Q37" s="87" t="n"/>
      <c r="R37" s="87" t="n"/>
      <c r="S37" s="87" t="n"/>
      <c r="T37" s="87" t="n"/>
      <c r="U37" s="87" t="n"/>
    </row>
    <row r="38" s="83">
      <c r="A38" s="60" t="n">
        <v>46057</v>
      </c>
      <c r="B38" s="60" t="n">
        <v>46060</v>
      </c>
      <c r="C38" s="60" t="n">
        <v>46063</v>
      </c>
      <c r="D38" s="87" t="inlineStr">
        <is>
          <t>RICARDO SEVERINO REIS</t>
        </is>
      </c>
      <c r="E38" s="87" t="inlineStr">
        <is>
          <t>Azul</t>
        </is>
      </c>
      <c r="F38" s="87" t="inlineStr">
        <is>
          <t>Jacqueline</t>
        </is>
      </c>
      <c r="G38" s="87" t="inlineStr">
        <is>
          <t>F</t>
        </is>
      </c>
      <c r="H38" s="78" t="n"/>
      <c r="I38" s="87" t="n"/>
      <c r="J38" s="87" t="inlineStr">
        <is>
          <t>Pendente</t>
        </is>
      </c>
      <c r="K38" s="60" t="n">
        <v>46066</v>
      </c>
      <c r="L38" s="87">
        <f>TEXT(A38,"mmmm")</f>
        <v/>
      </c>
      <c r="N38" s="87" t="n"/>
      <c r="O38" s="87" t="n"/>
      <c r="P38" s="87" t="n"/>
      <c r="Q38" s="87" t="n"/>
      <c r="R38" s="87" t="n"/>
      <c r="S38" s="87" t="n"/>
      <c r="T38" s="87" t="n"/>
      <c r="U38" s="87" t="n"/>
      <c r="X38" s="87" t="n"/>
      <c r="Y38" s="87" t="n"/>
    </row>
    <row r="39">
      <c r="A39" s="60" t="n">
        <v>46058</v>
      </c>
      <c r="B39" s="60" t="n">
        <v>46061</v>
      </c>
      <c r="C39" s="60" t="n">
        <v>46064</v>
      </c>
      <c r="D39" s="87" t="inlineStr">
        <is>
          <t>THAMIRES RODRIGUES DE BARROS</t>
        </is>
      </c>
      <c r="E39" s="87" t="inlineStr">
        <is>
          <t>Tokio</t>
        </is>
      </c>
      <c r="F39" s="87" t="inlineStr">
        <is>
          <t>John</t>
        </is>
      </c>
      <c r="G39" s="87" t="inlineStr">
        <is>
          <t>M</t>
        </is>
      </c>
      <c r="H39" s="78" t="n"/>
      <c r="I39" s="87" t="n"/>
      <c r="J39" s="87" t="inlineStr">
        <is>
          <t>Pendente</t>
        </is>
      </c>
      <c r="K39" s="60" t="n">
        <v>46067</v>
      </c>
      <c r="L39" s="87">
        <f>TEXT(A39,"mmmm")</f>
        <v/>
      </c>
      <c r="O39" s="87" t="n"/>
      <c r="P39" s="87" t="n"/>
      <c r="Q39" s="87" t="n"/>
      <c r="R39" s="87" t="n"/>
      <c r="S39" s="87" t="n"/>
      <c r="T39" s="87" t="n"/>
      <c r="U39" s="87" t="n"/>
    </row>
    <row r="40" ht="15" customHeight="1" s="83">
      <c r="A40" s="60" t="n">
        <v>46058</v>
      </c>
      <c r="B40" s="60" t="n">
        <v>46061</v>
      </c>
      <c r="C40" s="60" t="n">
        <v>46064</v>
      </c>
      <c r="D40" s="87" t="inlineStr">
        <is>
          <t>LEANDRO APARECIDO PORTES FAGUNDES</t>
        </is>
      </c>
      <c r="E40" s="87" t="inlineStr">
        <is>
          <t>Azul</t>
        </is>
      </c>
      <c r="F40" s="87" t="inlineStr">
        <is>
          <t>Enzo</t>
        </is>
      </c>
      <c r="G40" s="87" t="inlineStr">
        <is>
          <t>M</t>
        </is>
      </c>
      <c r="H40" s="78" t="n"/>
      <c r="I40" s="87" t="n"/>
      <c r="J40" s="87" t="inlineStr">
        <is>
          <t>Pendente</t>
        </is>
      </c>
      <c r="K40" s="60" t="n">
        <v>46067</v>
      </c>
      <c r="L40" s="87">
        <f>TEXT(A40,"mmmm")</f>
        <v/>
      </c>
      <c r="O40" s="87" t="n"/>
      <c r="P40" s="87" t="n"/>
      <c r="Q40" s="87" t="n"/>
      <c r="R40" s="87" t="n"/>
      <c r="S40" s="87" t="n"/>
      <c r="T40" s="87" t="n"/>
      <c r="U40" s="87" t="n"/>
    </row>
    <row r="41" s="83">
      <c r="A41" s="60" t="n">
        <v>46058</v>
      </c>
      <c r="B41" s="60" t="n">
        <v>46061</v>
      </c>
      <c r="C41" s="60" t="n">
        <v>46064</v>
      </c>
      <c r="D41" s="87" t="inlineStr">
        <is>
          <t>LEANDRO APARECIDO PORTES FAGUNDES</t>
        </is>
      </c>
      <c r="E41" s="87" t="inlineStr">
        <is>
          <t>Azul</t>
        </is>
      </c>
      <c r="F41" s="87" t="inlineStr">
        <is>
          <t>Enzo</t>
        </is>
      </c>
      <c r="G41" s="87" t="inlineStr">
        <is>
          <t>M</t>
        </is>
      </c>
      <c r="H41" s="78" t="n"/>
      <c r="I41" s="87" t="n"/>
      <c r="J41" s="87" t="inlineStr">
        <is>
          <t>Pendente</t>
        </is>
      </c>
      <c r="K41" s="60" t="n">
        <v>46067</v>
      </c>
      <c r="L41" s="87">
        <f>TEXT(A41,"mmmm")</f>
        <v/>
      </c>
      <c r="N41" s="87" t="n"/>
      <c r="O41" s="87" t="n"/>
      <c r="P41" s="87" t="n"/>
      <c r="Q41" s="87" t="n"/>
      <c r="R41" s="87" t="n"/>
      <c r="S41" s="87" t="n"/>
      <c r="T41" s="87" t="n"/>
      <c r="U41" s="87" t="n"/>
      <c r="X41" s="87" t="n"/>
      <c r="Y41" s="87" t="n"/>
    </row>
    <row r="42" s="83">
      <c r="A42" s="60" t="n">
        <v>46058</v>
      </c>
      <c r="B42" s="60" t="n">
        <v>46061</v>
      </c>
      <c r="C42" s="60" t="n">
        <v>46064</v>
      </c>
      <c r="D42" s="87" t="inlineStr">
        <is>
          <t>FRANCISCO IJAIRE PEREIRA</t>
        </is>
      </c>
      <c r="E42" s="87" t="inlineStr">
        <is>
          <t>Azul</t>
        </is>
      </c>
      <c r="F42" s="87" t="inlineStr">
        <is>
          <t>Leticia</t>
        </is>
      </c>
      <c r="G42" s="87" t="inlineStr">
        <is>
          <t>F</t>
        </is>
      </c>
      <c r="H42" s="78" t="n"/>
      <c r="I42" s="87" t="n"/>
      <c r="J42" s="87" t="inlineStr">
        <is>
          <t>Pendente</t>
        </is>
      </c>
      <c r="K42" s="60" t="n">
        <v>46067</v>
      </c>
      <c r="L42" s="87">
        <f>TEXT(A42,"mmmm")</f>
        <v/>
      </c>
      <c r="N42" s="87" t="n"/>
      <c r="O42" s="87" t="n"/>
      <c r="P42" s="87" t="n"/>
      <c r="Q42" s="87" t="n"/>
      <c r="R42" s="87" t="n"/>
      <c r="S42" s="87" t="n"/>
      <c r="T42" s="87" t="n"/>
      <c r="U42" s="87" t="n"/>
      <c r="X42" s="87" t="n"/>
      <c r="Y42" s="87" t="n"/>
    </row>
    <row r="43" ht="15" customHeight="1" s="83">
      <c r="A43" s="60" t="n">
        <v>46058</v>
      </c>
      <c r="B43" s="60" t="n">
        <v>46061</v>
      </c>
      <c r="C43" s="60" t="n">
        <v>46064</v>
      </c>
      <c r="D43" s="87" t="inlineStr">
        <is>
          <t>LUIZ DE OLIVEIRA SILVA</t>
        </is>
      </c>
      <c r="E43" s="87" t="inlineStr">
        <is>
          <t>Tokio</t>
        </is>
      </c>
      <c r="F43" s="87" t="inlineStr">
        <is>
          <t>Isabella</t>
        </is>
      </c>
      <c r="G43" s="87" t="inlineStr">
        <is>
          <t>F</t>
        </is>
      </c>
      <c r="H43" s="78" t="n"/>
      <c r="I43" s="87" t="n"/>
      <c r="J43" s="87" t="inlineStr">
        <is>
          <t>Pendente</t>
        </is>
      </c>
      <c r="K43" s="60" t="n">
        <v>46067</v>
      </c>
      <c r="L43" s="87">
        <f>TEXT(A43,"mmmm")</f>
        <v/>
      </c>
      <c r="O43" s="87" t="n"/>
      <c r="P43" s="87" t="n"/>
      <c r="Q43" s="87" t="n"/>
      <c r="R43" s="87" t="n"/>
      <c r="S43" s="87" t="n"/>
      <c r="T43" s="87" t="n"/>
      <c r="U43" s="87" t="n"/>
    </row>
    <row r="44" s="83">
      <c r="A44" s="60" t="n">
        <v>46059</v>
      </c>
      <c r="B44" s="60" t="n">
        <v>46062</v>
      </c>
      <c r="C44" s="60" t="n">
        <v>46065</v>
      </c>
      <c r="D44" s="87" t="inlineStr">
        <is>
          <t>CARLOS AFONSO DE ALMEIDA</t>
        </is>
      </c>
      <c r="E44" s="87" t="inlineStr">
        <is>
          <t>Azul</t>
        </is>
      </c>
      <c r="F44" s="87" t="inlineStr">
        <is>
          <t>Enzo</t>
        </is>
      </c>
      <c r="G44" s="87" t="inlineStr">
        <is>
          <t>M</t>
        </is>
      </c>
      <c r="H44" s="78" t="n"/>
      <c r="I44" s="87" t="n"/>
      <c r="J44" s="87" t="inlineStr">
        <is>
          <t>Pendente</t>
        </is>
      </c>
      <c r="K44" s="60" t="n">
        <v>46068</v>
      </c>
      <c r="L44" s="87">
        <f>TEXT(A44,"mmmm")</f>
        <v/>
      </c>
      <c r="N44" s="87" t="n"/>
      <c r="O44" s="87" t="n"/>
      <c r="P44" s="87" t="n"/>
      <c r="Q44" s="87" t="n"/>
      <c r="R44" s="87" t="n"/>
      <c r="S44" s="87" t="n"/>
      <c r="T44" s="87" t="n"/>
      <c r="U44" s="87" t="n"/>
      <c r="X44" s="87" t="n"/>
      <c r="Y44" s="87" t="n"/>
    </row>
    <row r="45" s="83">
      <c r="A45" s="60" t="n">
        <v>46059</v>
      </c>
      <c r="B45" s="60" t="n">
        <v>46062</v>
      </c>
      <c r="C45" s="60" t="n">
        <v>46065</v>
      </c>
      <c r="D45" s="87" t="inlineStr">
        <is>
          <t>THAYNA CAMARGO DE OLIVEIRA</t>
        </is>
      </c>
      <c r="E45" s="87" t="inlineStr">
        <is>
          <t>Azul</t>
        </is>
      </c>
      <c r="F45" s="87" t="inlineStr">
        <is>
          <t>Enzo</t>
        </is>
      </c>
      <c r="G45" s="87" t="inlineStr">
        <is>
          <t>M</t>
        </is>
      </c>
      <c r="H45" s="78" t="n"/>
      <c r="I45" s="87" t="n"/>
      <c r="J45" s="87" t="inlineStr">
        <is>
          <t>Pendente</t>
        </is>
      </c>
      <c r="K45" s="60" t="n">
        <v>46068</v>
      </c>
      <c r="L45" s="87">
        <f>TEXT(A45,"mmmm")</f>
        <v/>
      </c>
      <c r="N45" s="87" t="n"/>
      <c r="O45" s="87" t="n"/>
      <c r="P45" s="87" t="n"/>
      <c r="Q45" s="87" t="n"/>
      <c r="R45" s="87" t="n"/>
      <c r="S45" s="87" t="n"/>
      <c r="T45" s="87" t="n"/>
      <c r="U45" s="87" t="n"/>
      <c r="X45" s="87" t="n"/>
      <c r="Y45" s="87" t="n"/>
    </row>
    <row r="46" s="83">
      <c r="A46" s="60" t="n">
        <v>46059</v>
      </c>
      <c r="B46" s="60" t="n">
        <v>46062</v>
      </c>
      <c r="C46" s="60" t="n">
        <v>46065</v>
      </c>
      <c r="D46" s="87" t="inlineStr">
        <is>
          <t>LUCIANO DA SILVA FURTADO</t>
        </is>
      </c>
      <c r="E46" s="87" t="inlineStr">
        <is>
          <t>HDI</t>
        </is>
      </c>
      <c r="F46" s="87" t="inlineStr">
        <is>
          <t>Leticia</t>
        </is>
      </c>
      <c r="G46" s="87" t="inlineStr">
        <is>
          <t>F</t>
        </is>
      </c>
      <c r="H46" s="78" t="n"/>
      <c r="I46" s="87" t="n"/>
      <c r="J46" s="87" t="inlineStr">
        <is>
          <t>Pendente</t>
        </is>
      </c>
      <c r="K46" s="60" t="n">
        <v>46068</v>
      </c>
      <c r="L46" s="87">
        <f>TEXT(A46,"mmmm")</f>
        <v/>
      </c>
      <c r="N46" s="87" t="n"/>
      <c r="O46" s="87" t="n"/>
      <c r="P46" s="87" t="n"/>
      <c r="Q46" s="87" t="n"/>
      <c r="R46" s="87" t="n"/>
      <c r="S46" s="87" t="n"/>
      <c r="T46" s="87" t="n"/>
      <c r="U46" s="87" t="n"/>
      <c r="X46" s="87" t="n"/>
      <c r="Y46" s="87" t="n"/>
    </row>
    <row r="47" ht="15" customHeight="1" s="83">
      <c r="A47" s="60" t="n">
        <v>46059</v>
      </c>
      <c r="B47" s="60" t="n">
        <v>46062</v>
      </c>
      <c r="C47" s="60" t="n">
        <v>46065</v>
      </c>
      <c r="D47" s="87" t="inlineStr">
        <is>
          <t>HIGOR ROGERIO DA SILVA</t>
        </is>
      </c>
      <c r="E47" s="87" t="inlineStr">
        <is>
          <t>Mapfre</t>
        </is>
      </c>
      <c r="F47" s="87" t="inlineStr">
        <is>
          <t>Leticia</t>
        </is>
      </c>
      <c r="G47" s="87" t="inlineStr">
        <is>
          <t>F</t>
        </is>
      </c>
      <c r="H47" s="78" t="n"/>
      <c r="I47" s="87" t="n"/>
      <c r="J47" s="87" t="inlineStr">
        <is>
          <t>Pendente</t>
        </is>
      </c>
      <c r="K47" s="60" t="n">
        <v>46068</v>
      </c>
      <c r="L47" s="87">
        <f>TEXT(A47,"mmmm")</f>
        <v/>
      </c>
      <c r="O47" s="87" t="n"/>
      <c r="P47" s="87" t="n"/>
      <c r="Q47" s="87" t="n"/>
    </row>
    <row r="48" ht="15" customHeight="1" s="83">
      <c r="A48" s="60" t="n">
        <v>46059</v>
      </c>
      <c r="B48" s="60" t="n">
        <v>46062</v>
      </c>
      <c r="C48" s="60" t="n">
        <v>46065</v>
      </c>
      <c r="D48" s="87" t="inlineStr">
        <is>
          <t>JOSE CARLOS DE ANDRADE</t>
        </is>
      </c>
      <c r="E48" s="87" t="inlineStr">
        <is>
          <t>Azul</t>
        </is>
      </c>
      <c r="F48" s="87" t="inlineStr">
        <is>
          <t>John</t>
        </is>
      </c>
      <c r="G48" s="87" t="inlineStr">
        <is>
          <t>M</t>
        </is>
      </c>
      <c r="H48" s="78" t="n"/>
      <c r="I48" s="87" t="n"/>
      <c r="J48" s="87" t="inlineStr">
        <is>
          <t>Pendente</t>
        </is>
      </c>
      <c r="K48" s="60" t="n">
        <v>46068</v>
      </c>
      <c r="L48" s="87">
        <f>TEXT(A48,"mmmm")</f>
        <v/>
      </c>
      <c r="O48" s="87" t="n"/>
      <c r="P48" s="87" t="n"/>
      <c r="Q48" s="87" t="n"/>
    </row>
    <row r="49" s="83">
      <c r="A49" s="60" t="n">
        <v>46059</v>
      </c>
      <c r="B49" s="60" t="n">
        <v>46062</v>
      </c>
      <c r="C49" s="60" t="n">
        <v>46065</v>
      </c>
      <c r="D49" s="87" t="inlineStr">
        <is>
          <t>CAIQUE SPEZZANO DA SILVA</t>
        </is>
      </c>
      <c r="E49" s="87" t="inlineStr">
        <is>
          <t>Suhai</t>
        </is>
      </c>
      <c r="F49" s="87" t="inlineStr">
        <is>
          <t>John</t>
        </is>
      </c>
      <c r="G49" s="87" t="inlineStr">
        <is>
          <t>M</t>
        </is>
      </c>
      <c r="H49" s="78" t="n"/>
      <c r="I49" s="87" t="n"/>
      <c r="J49" s="87" t="inlineStr">
        <is>
          <t>Pendente</t>
        </is>
      </c>
      <c r="K49" s="60" t="n">
        <v>46068</v>
      </c>
      <c r="L49" s="87">
        <f>TEXT(A49,"mmmm")</f>
        <v/>
      </c>
      <c r="N49" s="87" t="n"/>
      <c r="O49" s="87" t="n"/>
      <c r="P49" s="87" t="n"/>
      <c r="Q49" s="87" t="n"/>
      <c r="X49" s="87" t="n"/>
      <c r="Y49" s="87" t="n"/>
    </row>
    <row r="50" ht="15" customHeight="1" s="83">
      <c r="A50" s="60" t="n">
        <v>46059</v>
      </c>
      <c r="B50" s="60" t="n">
        <v>46062</v>
      </c>
      <c r="C50" s="60" t="n">
        <v>46065</v>
      </c>
      <c r="D50" s="87" t="inlineStr">
        <is>
          <t>CLECIA CABRAL DOS SANTOS</t>
        </is>
      </c>
      <c r="E50" s="87" t="inlineStr">
        <is>
          <t>Suhai</t>
        </is>
      </c>
      <c r="F50" s="87" t="inlineStr">
        <is>
          <t>John</t>
        </is>
      </c>
      <c r="G50" s="87" t="inlineStr">
        <is>
          <t>M</t>
        </is>
      </c>
      <c r="H50" s="78" t="n"/>
      <c r="I50" s="87" t="n"/>
      <c r="J50" s="87" t="inlineStr">
        <is>
          <t>Pendente</t>
        </is>
      </c>
      <c r="K50" s="60" t="n">
        <v>46068</v>
      </c>
      <c r="L50" s="87">
        <f>TEXT(A50,"mmmm")</f>
        <v/>
      </c>
      <c r="O50" s="87" t="n"/>
      <c r="P50" s="87" t="n"/>
      <c r="Q50" s="87" t="n"/>
    </row>
    <row r="51" ht="15" customHeight="1" s="83">
      <c r="A51" s="60" t="n">
        <v>46059</v>
      </c>
      <c r="B51" s="60" t="n">
        <v>46062</v>
      </c>
      <c r="C51" s="60" t="n">
        <v>46065</v>
      </c>
      <c r="D51" s="87" t="inlineStr">
        <is>
          <t>NATHAN PETRIN SOUSA DA SILVA</t>
        </is>
      </c>
      <c r="E51" s="87" t="inlineStr">
        <is>
          <t>Suhai</t>
        </is>
      </c>
      <c r="F51" s="87" t="inlineStr">
        <is>
          <t>Isabella</t>
        </is>
      </c>
      <c r="G51" s="87" t="inlineStr">
        <is>
          <t>F</t>
        </is>
      </c>
      <c r="H51" s="78" t="n"/>
      <c r="I51" s="87" t="n"/>
      <c r="J51" s="87" t="inlineStr">
        <is>
          <t>Pendente</t>
        </is>
      </c>
      <c r="K51" s="60" t="n">
        <v>46068</v>
      </c>
      <c r="L51" s="87">
        <f>TEXT(A51,"mmmm")</f>
        <v/>
      </c>
      <c r="O51" s="87" t="n"/>
      <c r="P51" s="87" t="n"/>
      <c r="Q51" s="87" t="n"/>
    </row>
    <row r="52">
      <c r="A52" s="60" t="n">
        <v>46059</v>
      </c>
      <c r="B52" s="60" t="n">
        <v>46062</v>
      </c>
      <c r="C52" s="60" t="n">
        <v>46065</v>
      </c>
      <c r="D52" s="87" t="inlineStr">
        <is>
          <t>MOACIR CARLOS OLIVEIRA MOURA</t>
        </is>
      </c>
      <c r="E52" s="87" t="inlineStr">
        <is>
          <t>Azul</t>
        </is>
      </c>
      <c r="F52" s="87" t="inlineStr">
        <is>
          <t>Isabella</t>
        </is>
      </c>
      <c r="G52" s="87" t="inlineStr">
        <is>
          <t>F</t>
        </is>
      </c>
      <c r="H52" s="78" t="n"/>
      <c r="I52" s="87" t="n"/>
      <c r="J52" s="87" t="inlineStr">
        <is>
          <t>Pendente</t>
        </is>
      </c>
      <c r="K52" s="60" t="n">
        <v>46068</v>
      </c>
      <c r="L52" s="87">
        <f>TEXT(A52,"mmmm")</f>
        <v/>
      </c>
      <c r="O52" s="87" t="n"/>
      <c r="P52" s="87" t="n"/>
      <c r="Q52" s="87" t="n"/>
    </row>
    <row r="53">
      <c r="A53" s="60" t="n">
        <v>46059</v>
      </c>
      <c r="B53" s="60" t="n">
        <v>46062</v>
      </c>
      <c r="C53" s="60" t="n">
        <v>46065</v>
      </c>
      <c r="D53" s="87" t="inlineStr">
        <is>
          <t>CRISTIANO DIAS BIANCHI</t>
        </is>
      </c>
      <c r="E53" s="87" t="inlineStr">
        <is>
          <t>Azul</t>
        </is>
      </c>
      <c r="F53" s="87" t="inlineStr">
        <is>
          <t>Leticia</t>
        </is>
      </c>
      <c r="G53" s="87" t="inlineStr">
        <is>
          <t>F</t>
        </is>
      </c>
      <c r="H53" s="78" t="n"/>
      <c r="I53" s="87" t="n"/>
      <c r="J53" s="87" t="inlineStr">
        <is>
          <t>Pendente</t>
        </is>
      </c>
      <c r="K53" s="60" t="n">
        <v>46068</v>
      </c>
      <c r="L53" s="87">
        <f>TEXT(A53,"mmmm")</f>
        <v/>
      </c>
      <c r="O53" s="87" t="n"/>
      <c r="P53" s="87" t="n"/>
      <c r="Q53" s="87" t="n"/>
    </row>
    <row r="54">
      <c r="A54" s="60" t="n">
        <v>46059</v>
      </c>
      <c r="B54" s="60" t="n">
        <v>46062</v>
      </c>
      <c r="C54" s="60" t="n">
        <v>46065</v>
      </c>
      <c r="D54" s="87" t="inlineStr">
        <is>
          <t>ALESSANDRO GORI DE ALMEIDA</t>
        </is>
      </c>
      <c r="E54" s="87" t="inlineStr">
        <is>
          <t>Porto</t>
        </is>
      </c>
      <c r="F54" s="87" t="inlineStr">
        <is>
          <t>Leticia</t>
        </is>
      </c>
      <c r="G54" s="87" t="inlineStr">
        <is>
          <t>F</t>
        </is>
      </c>
      <c r="H54" s="78" t="n"/>
      <c r="I54" s="87" t="n"/>
      <c r="J54" s="87" t="inlineStr">
        <is>
          <t>Pendente</t>
        </is>
      </c>
      <c r="K54" s="60" t="n">
        <v>46068</v>
      </c>
      <c r="L54" s="87">
        <f>TEXT(A54,"mmmm")</f>
        <v/>
      </c>
      <c r="O54" s="87" t="n"/>
      <c r="P54" s="87" t="n"/>
      <c r="Q54" s="87" t="n"/>
    </row>
    <row r="55" s="83">
      <c r="A55" s="60" t="n">
        <v>46059</v>
      </c>
      <c r="B55" s="60" t="n">
        <v>46062</v>
      </c>
      <c r="C55" s="60" t="n">
        <v>46065</v>
      </c>
      <c r="D55" s="87" t="inlineStr">
        <is>
          <t>ROMILSON DOS SANTOS COSTA</t>
        </is>
      </c>
      <c r="E55" s="87" t="inlineStr">
        <is>
          <t>Azul</t>
        </is>
      </c>
      <c r="F55" s="87" t="inlineStr">
        <is>
          <t>Leticia</t>
        </is>
      </c>
      <c r="G55" s="87" t="inlineStr">
        <is>
          <t>F</t>
        </is>
      </c>
      <c r="H55" s="78" t="n"/>
      <c r="I55" s="87" t="n"/>
      <c r="J55" s="87" t="inlineStr">
        <is>
          <t>Pendente</t>
        </is>
      </c>
      <c r="K55" s="60" t="n">
        <v>46068</v>
      </c>
      <c r="L55" s="87">
        <f>TEXT(A55,"mmmm")</f>
        <v/>
      </c>
      <c r="N55" s="87" t="n"/>
      <c r="O55" s="87" t="n"/>
      <c r="P55" s="87" t="n"/>
      <c r="Q55" s="87" t="n"/>
      <c r="X55" s="87" t="n"/>
      <c r="Y55" s="87" t="n"/>
    </row>
    <row r="56">
      <c r="A56" s="60" t="n">
        <v>46059</v>
      </c>
      <c r="B56" s="60" t="n">
        <v>46062</v>
      </c>
      <c r="C56" s="60" t="n">
        <v>46065</v>
      </c>
      <c r="D56" s="87" t="inlineStr">
        <is>
          <t>NICOLLE LUCIA DE LIMA BASSETTO</t>
        </is>
      </c>
      <c r="E56" s="87" t="inlineStr">
        <is>
          <t>Aliro</t>
        </is>
      </c>
      <c r="F56" s="87" t="inlineStr">
        <is>
          <t>John</t>
        </is>
      </c>
      <c r="G56" s="87" t="inlineStr">
        <is>
          <t>M</t>
        </is>
      </c>
      <c r="H56" s="78" t="n"/>
      <c r="I56" s="87" t="n"/>
      <c r="J56" s="87" t="inlineStr">
        <is>
          <t>Pendente</t>
        </is>
      </c>
      <c r="K56" s="60" t="n">
        <v>46068</v>
      </c>
      <c r="L56" s="87">
        <f>TEXT(A56,"mmmm")</f>
        <v/>
      </c>
      <c r="O56" s="87" t="n"/>
      <c r="P56" s="87" t="n"/>
      <c r="Q56" s="87" t="n"/>
    </row>
    <row r="57">
      <c r="A57" s="60" t="n">
        <v>46059</v>
      </c>
      <c r="B57" s="60" t="n">
        <v>46062</v>
      </c>
      <c r="C57" s="60" t="n">
        <v>46065</v>
      </c>
      <c r="D57" s="87" t="inlineStr">
        <is>
          <t>JOSE GERALDO DA SILVA</t>
        </is>
      </c>
      <c r="E57" s="87" t="inlineStr">
        <is>
          <t>Tokio</t>
        </is>
      </c>
      <c r="F57" s="87" t="inlineStr">
        <is>
          <t>John</t>
        </is>
      </c>
      <c r="G57" s="87" t="inlineStr">
        <is>
          <t>M</t>
        </is>
      </c>
      <c r="H57" s="78" t="n"/>
      <c r="I57" s="87" t="n"/>
      <c r="J57" s="87" t="inlineStr">
        <is>
          <t>Pendente</t>
        </is>
      </c>
      <c r="K57" s="60" t="n">
        <v>46068</v>
      </c>
      <c r="L57" s="87">
        <f>TEXT(A57,"mmmm")</f>
        <v/>
      </c>
      <c r="O57" s="87" t="n"/>
      <c r="P57" s="87" t="n"/>
      <c r="Q57" s="87" t="n"/>
    </row>
    <row r="58">
      <c r="A58" s="60" t="n">
        <v>46062</v>
      </c>
      <c r="B58" s="60" t="n">
        <v>46065</v>
      </c>
      <c r="C58" s="60" t="n">
        <v>46068</v>
      </c>
      <c r="D58" s="87" t="inlineStr">
        <is>
          <t>RENATO MELGARES DE MELO</t>
        </is>
      </c>
      <c r="E58" s="87" t="inlineStr">
        <is>
          <t>Mapfre</t>
        </is>
      </c>
      <c r="F58" s="87" t="inlineStr">
        <is>
          <t>Enzo</t>
        </is>
      </c>
      <c r="G58" s="87" t="inlineStr">
        <is>
          <t>M</t>
        </is>
      </c>
      <c r="H58" s="78" t="n"/>
      <c r="I58" s="87" t="n"/>
      <c r="J58" s="87" t="inlineStr">
        <is>
          <t>Pendente</t>
        </is>
      </c>
      <c r="K58" s="60" t="n">
        <v>46071</v>
      </c>
      <c r="L58" s="87">
        <f>TEXT(A58,"mmmm")</f>
        <v/>
      </c>
      <c r="O58" s="87" t="n"/>
      <c r="P58" s="87" t="n"/>
      <c r="Q58" s="87" t="n"/>
    </row>
    <row r="59" s="83">
      <c r="A59" s="60" t="n">
        <v>46062</v>
      </c>
      <c r="B59" s="60" t="n">
        <v>46065</v>
      </c>
      <c r="C59" s="60" t="n">
        <v>46068</v>
      </c>
      <c r="D59" s="87" t="inlineStr">
        <is>
          <t>DANIELA GOECKS RIBEIRO DE MEDEIROS</t>
        </is>
      </c>
      <c r="E59" s="87" t="inlineStr">
        <is>
          <t>Azul</t>
        </is>
      </c>
      <c r="F59" s="87" t="inlineStr">
        <is>
          <t>Enzo</t>
        </is>
      </c>
      <c r="G59" s="87" t="inlineStr">
        <is>
          <t>M</t>
        </is>
      </c>
      <c r="H59" s="78" t="n"/>
      <c r="I59" s="87" t="n"/>
      <c r="J59" s="87" t="inlineStr">
        <is>
          <t>Pendente</t>
        </is>
      </c>
      <c r="K59" s="60" t="n">
        <v>46071</v>
      </c>
      <c r="L59" s="87">
        <f>TEXT(A59,"mmmm")</f>
        <v/>
      </c>
      <c r="N59" s="87" t="n"/>
      <c r="O59" s="87" t="n"/>
      <c r="P59" s="87" t="n"/>
      <c r="Q59" s="87" t="n"/>
      <c r="X59" s="87" t="n"/>
      <c r="Y59" s="87" t="n"/>
    </row>
    <row r="60">
      <c r="A60" s="60" t="n">
        <v>46062</v>
      </c>
      <c r="B60" s="60" t="n">
        <v>46065</v>
      </c>
      <c r="C60" s="60" t="n">
        <v>46068</v>
      </c>
      <c r="D60" s="87" t="inlineStr">
        <is>
          <t>GLAUCIANE REGINA DE OLIVEIRA</t>
        </is>
      </c>
      <c r="E60" s="87" t="inlineStr">
        <is>
          <t>Tokio</t>
        </is>
      </c>
      <c r="F60" s="87" t="inlineStr">
        <is>
          <t>Enzo</t>
        </is>
      </c>
      <c r="G60" s="87" t="inlineStr">
        <is>
          <t>M</t>
        </is>
      </c>
      <c r="H60" s="78" t="n"/>
      <c r="I60" s="87" t="n"/>
      <c r="J60" s="87" t="inlineStr">
        <is>
          <t>Pendente</t>
        </is>
      </c>
      <c r="K60" s="60" t="n">
        <v>46071</v>
      </c>
      <c r="L60" s="87">
        <f>TEXT(A60,"mmmm")</f>
        <v/>
      </c>
      <c r="O60" s="87" t="n"/>
      <c r="P60" s="87" t="n"/>
      <c r="Q60" s="87" t="n"/>
    </row>
    <row r="61">
      <c r="A61" s="60" t="n">
        <v>46062</v>
      </c>
      <c r="B61" s="60" t="n">
        <v>46065</v>
      </c>
      <c r="C61" s="60" t="n">
        <v>46068</v>
      </c>
      <c r="D61" s="87" t="inlineStr">
        <is>
          <t>ADILTON SILVA SOUZA</t>
        </is>
      </c>
      <c r="E61" s="87" t="inlineStr">
        <is>
          <t>Azul</t>
        </is>
      </c>
      <c r="F61" s="87" t="inlineStr">
        <is>
          <t>Enzo</t>
        </is>
      </c>
      <c r="G61" s="87" t="inlineStr">
        <is>
          <t>M</t>
        </is>
      </c>
      <c r="H61" s="78" t="n"/>
      <c r="I61" s="87" t="n"/>
      <c r="J61" s="87" t="inlineStr">
        <is>
          <t>Pendente</t>
        </is>
      </c>
      <c r="K61" s="60" t="n">
        <v>46071</v>
      </c>
      <c r="L61" s="87">
        <f>TEXT(A61,"mmmm")</f>
        <v/>
      </c>
      <c r="O61" s="87" t="n"/>
      <c r="P61" s="87" t="n"/>
      <c r="Q61" s="87" t="n"/>
    </row>
    <row r="62">
      <c r="A62" s="60" t="n">
        <v>46062</v>
      </c>
      <c r="B62" s="60" t="n">
        <v>46065</v>
      </c>
      <c r="C62" s="60" t="n">
        <v>46068</v>
      </c>
      <c r="D62" s="87" t="inlineStr">
        <is>
          <t>ANGELO DIVINO MARTINS DE OLIVEIRA</t>
        </is>
      </c>
      <c r="E62" s="87" t="inlineStr">
        <is>
          <t>Suhai</t>
        </is>
      </c>
      <c r="F62" s="87" t="inlineStr">
        <is>
          <t>John</t>
        </is>
      </c>
      <c r="G62" s="87" t="inlineStr">
        <is>
          <t>M</t>
        </is>
      </c>
      <c r="H62" s="78" t="n"/>
      <c r="I62" s="87" t="n"/>
      <c r="J62" s="87" t="inlineStr">
        <is>
          <t>Pendente</t>
        </is>
      </c>
      <c r="K62" s="60" t="n">
        <v>46071</v>
      </c>
      <c r="L62" s="87">
        <f>TEXT(A62,"mmmm")</f>
        <v/>
      </c>
      <c r="O62" s="87" t="n"/>
      <c r="P62" s="87" t="n"/>
      <c r="Q62" s="87" t="n"/>
    </row>
    <row r="63">
      <c r="A63" s="60" t="n">
        <v>46062</v>
      </c>
      <c r="B63" s="60" t="n">
        <v>46065</v>
      </c>
      <c r="C63" s="60" t="n">
        <v>46068</v>
      </c>
      <c r="D63" s="87" t="inlineStr">
        <is>
          <t>VALDIR BARBOSA FREITAS</t>
        </is>
      </c>
      <c r="E63" s="87" t="inlineStr">
        <is>
          <t>Tokio</t>
        </is>
      </c>
      <c r="F63" s="87" t="inlineStr">
        <is>
          <t>John</t>
        </is>
      </c>
      <c r="G63" s="87" t="inlineStr">
        <is>
          <t>M</t>
        </is>
      </c>
      <c r="H63" s="78" t="n"/>
      <c r="I63" s="87" t="n"/>
      <c r="J63" s="87" t="inlineStr">
        <is>
          <t>Pendente</t>
        </is>
      </c>
      <c r="K63" s="60" t="n">
        <v>46071</v>
      </c>
      <c r="L63" s="87">
        <f>TEXT(A63,"mmmm")</f>
        <v/>
      </c>
      <c r="O63" s="87" t="n"/>
      <c r="P63" s="87" t="n"/>
      <c r="Q63" s="87" t="n"/>
    </row>
    <row r="64">
      <c r="A64" s="60" t="n">
        <v>46062</v>
      </c>
      <c r="B64" s="60" t="n">
        <v>46065</v>
      </c>
      <c r="C64" s="60" t="n">
        <v>46068</v>
      </c>
      <c r="D64" s="87" t="inlineStr">
        <is>
          <t>ROBSON GOMES BARBOSA</t>
        </is>
      </c>
      <c r="E64" s="87" t="inlineStr">
        <is>
          <t>Suhai</t>
        </is>
      </c>
      <c r="F64" s="87" t="inlineStr">
        <is>
          <t>Leticia</t>
        </is>
      </c>
      <c r="G64" s="87" t="inlineStr">
        <is>
          <t>F</t>
        </is>
      </c>
      <c r="H64" s="78" t="n"/>
      <c r="I64" s="87" t="n"/>
      <c r="J64" s="87" t="inlineStr">
        <is>
          <t>Pendente</t>
        </is>
      </c>
      <c r="K64" s="60" t="n">
        <v>46071</v>
      </c>
      <c r="L64" s="87">
        <f>TEXT(A64,"mmmm")</f>
        <v/>
      </c>
      <c r="N64" s="87" t="n"/>
      <c r="O64" s="87" t="n"/>
      <c r="P64" s="87" t="n"/>
      <c r="Q64" s="87" t="n"/>
    </row>
    <row r="65" s="83">
      <c r="A65" s="60" t="n">
        <v>46062</v>
      </c>
      <c r="B65" s="60" t="n">
        <v>46065</v>
      </c>
      <c r="C65" s="60" t="n">
        <v>46068</v>
      </c>
      <c r="D65" s="87" t="inlineStr">
        <is>
          <t>CRISTOVAO LEANDRO XAVIER SOUZA</t>
        </is>
      </c>
      <c r="E65" s="87" t="inlineStr">
        <is>
          <t>Tokio</t>
        </is>
      </c>
      <c r="F65" s="87" t="inlineStr">
        <is>
          <t>Leticia</t>
        </is>
      </c>
      <c r="G65" s="87" t="inlineStr">
        <is>
          <t>F</t>
        </is>
      </c>
      <c r="H65" s="78" t="n"/>
      <c r="I65" s="87" t="n"/>
      <c r="J65" s="87" t="inlineStr">
        <is>
          <t>Pendente</t>
        </is>
      </c>
      <c r="K65" s="60" t="n">
        <v>46071</v>
      </c>
      <c r="L65" s="87">
        <f>TEXT(A65,"mmmm")</f>
        <v/>
      </c>
      <c r="N65" s="87" t="n"/>
      <c r="O65" s="87" t="n"/>
      <c r="P65" s="87" t="n"/>
      <c r="Q65" s="87" t="n"/>
      <c r="X65" s="87" t="n"/>
      <c r="Y65" s="87" t="n"/>
    </row>
    <row r="66">
      <c r="A66" s="60" t="n">
        <v>46063</v>
      </c>
      <c r="B66" s="60" t="n">
        <v>46066</v>
      </c>
      <c r="C66" s="60" t="n">
        <v>46069</v>
      </c>
      <c r="D66" s="87" t="inlineStr">
        <is>
          <t>MATHEUS NASCIMENTO DA SILVA</t>
        </is>
      </c>
      <c r="E66" s="87" t="inlineStr">
        <is>
          <t>Suhai</t>
        </is>
      </c>
      <c r="F66" s="87" t="inlineStr">
        <is>
          <t>John</t>
        </is>
      </c>
      <c r="G66" s="87" t="inlineStr">
        <is>
          <t>M</t>
        </is>
      </c>
      <c r="H66" s="78" t="n"/>
      <c r="I66" s="87" t="n"/>
      <c r="J66" s="87" t="inlineStr">
        <is>
          <t>Pendente</t>
        </is>
      </c>
      <c r="K66" s="60" t="n">
        <v>46072</v>
      </c>
      <c r="L66" s="87">
        <f>TEXT(A66,"mmmm")</f>
        <v/>
      </c>
      <c r="N66" s="87" t="n"/>
      <c r="O66" s="87" t="n"/>
      <c r="P66" s="87" t="n"/>
      <c r="Q66" s="87" t="n"/>
      <c r="R66" s="87" t="n"/>
      <c r="S66" s="87" t="n"/>
      <c r="T66" s="87" t="n"/>
    </row>
    <row r="67" s="83">
      <c r="A67" s="60" t="n">
        <v>46063</v>
      </c>
      <c r="B67" s="60" t="n">
        <v>46066</v>
      </c>
      <c r="C67" s="60" t="n">
        <v>46069</v>
      </c>
      <c r="D67" s="87" t="inlineStr">
        <is>
          <t>RAQUEL DE OLIVEIRA BLOCH MARINS</t>
        </is>
      </c>
      <c r="E67" s="87" t="inlineStr">
        <is>
          <t>Suhai</t>
        </is>
      </c>
      <c r="F67" s="87" t="inlineStr">
        <is>
          <t>Myrelle</t>
        </is>
      </c>
      <c r="G67" s="87" t="inlineStr">
        <is>
          <t>F</t>
        </is>
      </c>
      <c r="H67" s="78" t="n"/>
      <c r="I67" s="87" t="n"/>
      <c r="J67" s="87" t="inlineStr">
        <is>
          <t>Pendente</t>
        </is>
      </c>
      <c r="K67" s="60" t="n">
        <v>46072</v>
      </c>
      <c r="L67" s="87">
        <f>TEXT(A67,"mmmm")</f>
        <v/>
      </c>
      <c r="N67" s="87" t="n"/>
      <c r="O67" s="87" t="n"/>
      <c r="P67" s="87" t="n"/>
      <c r="Q67" s="87" t="n"/>
      <c r="X67" s="87" t="n"/>
      <c r="Y67" s="87" t="n"/>
    </row>
    <row r="68" customFormat="1" s="87">
      <c r="A68" s="60" t="n">
        <v>46063</v>
      </c>
      <c r="B68" s="60" t="n">
        <v>46066</v>
      </c>
      <c r="C68" s="60" t="n">
        <v>46069</v>
      </c>
      <c r="D68" s="87" t="inlineStr">
        <is>
          <t>REGIS ALEXANDRE MIRANDA PEREIRA</t>
        </is>
      </c>
      <c r="E68" s="87" t="inlineStr">
        <is>
          <t>Suhai</t>
        </is>
      </c>
      <c r="F68" s="87" t="inlineStr">
        <is>
          <t>Leticia</t>
        </is>
      </c>
      <c r="G68" s="87" t="inlineStr">
        <is>
          <t>F</t>
        </is>
      </c>
      <c r="H68" s="78" t="n"/>
      <c r="I68" s="87" t="n"/>
      <c r="J68" s="87" t="inlineStr">
        <is>
          <t>Pendente</t>
        </is>
      </c>
      <c r="K68" s="60" t="n">
        <v>46072</v>
      </c>
      <c r="L68" s="87">
        <f>TEXT(A68,"mmmm")</f>
        <v/>
      </c>
    </row>
    <row r="69" ht="15" customHeight="1" s="83">
      <c r="A69" s="60" t="n">
        <v>46063</v>
      </c>
      <c r="B69" s="60" t="n">
        <v>46066</v>
      </c>
      <c r="C69" s="60" t="n">
        <v>46069</v>
      </c>
      <c r="D69" s="87" t="inlineStr">
        <is>
          <t>JOELSON RODRIGUES DE SOUZA</t>
        </is>
      </c>
      <c r="E69" s="87" t="inlineStr">
        <is>
          <t>Azul</t>
        </is>
      </c>
      <c r="F69" s="87" t="inlineStr">
        <is>
          <t>Jacqueline</t>
        </is>
      </c>
      <c r="G69" s="87" t="inlineStr">
        <is>
          <t>F</t>
        </is>
      </c>
      <c r="H69" s="78" t="n"/>
      <c r="I69" s="87" t="n"/>
      <c r="J69" s="87" t="inlineStr">
        <is>
          <t>Pendente</t>
        </is>
      </c>
      <c r="K69" s="60" t="n">
        <v>46072</v>
      </c>
      <c r="L69" s="87">
        <f>TEXT(A69,"mmmm")</f>
        <v/>
      </c>
      <c r="N69" s="87" t="n"/>
      <c r="O69" s="62" t="n"/>
      <c r="X69" s="87" t="n"/>
      <c r="Y69" s="87" t="n"/>
    </row>
    <row r="70">
      <c r="A70" s="60" t="n">
        <v>46063</v>
      </c>
      <c r="B70" s="60" t="n">
        <v>46066</v>
      </c>
      <c r="C70" s="60" t="n">
        <v>46069</v>
      </c>
      <c r="D70" s="87" t="inlineStr">
        <is>
          <t>ANDERSON DOS SANTOS SILVA</t>
        </is>
      </c>
      <c r="E70" s="87" t="inlineStr">
        <is>
          <t>Tokio</t>
        </is>
      </c>
      <c r="F70" s="87" t="inlineStr">
        <is>
          <t>Jacqueline</t>
        </is>
      </c>
      <c r="G70" s="87" t="inlineStr">
        <is>
          <t>F</t>
        </is>
      </c>
      <c r="H70" s="78" t="n"/>
      <c r="I70" s="87" t="n"/>
      <c r="J70" s="87" t="inlineStr">
        <is>
          <t>Pendente</t>
        </is>
      </c>
      <c r="K70" s="60" t="n">
        <v>46072</v>
      </c>
      <c r="L70" s="87">
        <f>TEXT(A70,"mmmm")</f>
        <v/>
      </c>
      <c r="Q70" s="87" t="n"/>
      <c r="R70" s="87" t="n"/>
      <c r="S70" s="87" t="n"/>
      <c r="T70" s="87" t="n"/>
    </row>
    <row r="71">
      <c r="A71" s="60" t="n">
        <v>46063</v>
      </c>
      <c r="B71" s="60" t="n">
        <v>46066</v>
      </c>
      <c r="C71" s="60" t="n">
        <v>46069</v>
      </c>
      <c r="D71" s="87" t="inlineStr">
        <is>
          <t>ANDERSON DOS SANTOS SILVA</t>
        </is>
      </c>
      <c r="E71" s="87" t="inlineStr">
        <is>
          <t>Suhai</t>
        </is>
      </c>
      <c r="F71" s="87" t="inlineStr">
        <is>
          <t>Jacqueline</t>
        </is>
      </c>
      <c r="G71" s="87" t="inlineStr">
        <is>
          <t>F</t>
        </is>
      </c>
      <c r="H71" s="78" t="n"/>
      <c r="I71" s="87" t="n"/>
      <c r="J71" s="87" t="inlineStr">
        <is>
          <t>Pendente</t>
        </is>
      </c>
      <c r="K71" s="60" t="n">
        <v>46072</v>
      </c>
      <c r="L71" s="87">
        <f>TEXT(A71,"mmmm")</f>
        <v/>
      </c>
      <c r="N71" s="87" t="n"/>
    </row>
    <row r="72" customFormat="1" s="87">
      <c r="A72" s="60" t="n">
        <v>46063</v>
      </c>
      <c r="B72" s="60" t="n">
        <v>46066</v>
      </c>
      <c r="C72" s="60" t="n">
        <v>46069</v>
      </c>
      <c r="D72" s="87" t="inlineStr">
        <is>
          <t>DANIEL DONIZETE ALVES DE OLIVEIRA</t>
        </is>
      </c>
      <c r="E72" s="87" t="inlineStr">
        <is>
          <t>Itaú</t>
        </is>
      </c>
      <c r="F72" s="87" t="inlineStr">
        <is>
          <t>Jacqueline</t>
        </is>
      </c>
      <c r="G72" s="87" t="inlineStr">
        <is>
          <t>F</t>
        </is>
      </c>
      <c r="H72" s="78" t="n"/>
      <c r="I72" s="87" t="n"/>
      <c r="J72" s="87" t="inlineStr">
        <is>
          <t>Pendente</t>
        </is>
      </c>
      <c r="K72" s="60" t="n">
        <v>46072</v>
      </c>
      <c r="L72" s="87">
        <f>TEXT(A72,"mmmm")</f>
        <v/>
      </c>
      <c r="N72" s="87" t="n"/>
    </row>
    <row r="73" ht="15" customHeight="1" s="83">
      <c r="A73" s="60" t="n">
        <v>46063</v>
      </c>
      <c r="B73" s="60" t="n">
        <v>46066</v>
      </c>
      <c r="C73" s="60" t="n">
        <v>46069</v>
      </c>
      <c r="D73" s="87" t="inlineStr">
        <is>
          <t>MARIA CRISTINA SANHO</t>
        </is>
      </c>
      <c r="E73" s="87" t="inlineStr">
        <is>
          <t>Tokio</t>
        </is>
      </c>
      <c r="F73" s="87" t="inlineStr">
        <is>
          <t>Jacqueline</t>
        </is>
      </c>
      <c r="G73" s="87" t="inlineStr">
        <is>
          <t>F</t>
        </is>
      </c>
      <c r="H73" s="78" t="n"/>
      <c r="I73" s="87" t="n"/>
      <c r="J73" s="87" t="inlineStr">
        <is>
          <t>Pendente</t>
        </is>
      </c>
      <c r="K73" s="60" t="n">
        <v>46072</v>
      </c>
      <c r="L73" s="87">
        <f>TEXT(A73,"mmmm")</f>
        <v/>
      </c>
      <c r="N73" s="87" t="n"/>
      <c r="O73" s="62" t="n"/>
      <c r="X73" s="87" t="n"/>
      <c r="Y73" s="87" t="n"/>
    </row>
    <row r="74" s="83">
      <c r="A74" s="60" t="n">
        <v>46063</v>
      </c>
      <c r="B74" s="60" t="n">
        <v>46066</v>
      </c>
      <c r="C74" s="60" t="n">
        <v>46069</v>
      </c>
      <c r="D74" s="87" t="inlineStr">
        <is>
          <t>FERNANDA SILVA DE OLIVEIRA</t>
        </is>
      </c>
      <c r="E74" s="87" t="inlineStr">
        <is>
          <t>Porto</t>
        </is>
      </c>
      <c r="F74" s="87" t="inlineStr">
        <is>
          <t>John</t>
        </is>
      </c>
      <c r="G74" s="87" t="inlineStr">
        <is>
          <t>M</t>
        </is>
      </c>
      <c r="H74" s="78" t="n"/>
      <c r="I74" s="87" t="n"/>
      <c r="J74" s="87" t="inlineStr">
        <is>
          <t>Pendente</t>
        </is>
      </c>
      <c r="K74" s="60" t="n">
        <v>46072</v>
      </c>
      <c r="L74" s="87">
        <f>TEXT(A74,"mmmm")</f>
        <v/>
      </c>
      <c r="N74" s="87" t="n"/>
      <c r="O74" s="62" t="n"/>
      <c r="X74" s="87" t="n"/>
      <c r="Y74" s="87" t="n"/>
    </row>
    <row r="75" ht="15" customHeight="1" s="83">
      <c r="A75" s="60" t="n">
        <v>46063</v>
      </c>
      <c r="B75" s="60" t="n">
        <v>46066</v>
      </c>
      <c r="C75" s="60" t="n">
        <v>46069</v>
      </c>
      <c r="D75" s="87" t="inlineStr">
        <is>
          <t>JOSE EUCLIDES CAMILO</t>
        </is>
      </c>
      <c r="E75" s="87" t="inlineStr">
        <is>
          <t>Allianz</t>
        </is>
      </c>
      <c r="F75" s="87" t="inlineStr">
        <is>
          <t>Isabella</t>
        </is>
      </c>
      <c r="G75" s="87" t="inlineStr">
        <is>
          <t>F</t>
        </is>
      </c>
      <c r="H75" s="78" t="n"/>
      <c r="I75" s="87" t="n"/>
      <c r="J75" s="87" t="inlineStr">
        <is>
          <t>Pendente</t>
        </is>
      </c>
      <c r="K75" s="60" t="n">
        <v>46072</v>
      </c>
      <c r="L75" s="87">
        <f>TEXT(A75,"mmmm")</f>
        <v/>
      </c>
      <c r="N75" s="87" t="n"/>
      <c r="O75" s="62" t="n"/>
      <c r="X75" s="87" t="n"/>
      <c r="Y75" s="87" t="n"/>
    </row>
    <row r="76">
      <c r="A76" s="60" t="n">
        <v>46063</v>
      </c>
      <c r="B76" s="60" t="n">
        <v>46066</v>
      </c>
      <c r="C76" s="60" t="n">
        <v>46069</v>
      </c>
      <c r="D76" s="87" t="inlineStr">
        <is>
          <t>MARCOS CAMARGO DE SOUZA</t>
        </is>
      </c>
      <c r="E76" s="87" t="inlineStr">
        <is>
          <t>Tokio</t>
        </is>
      </c>
      <c r="F76" s="87" t="inlineStr">
        <is>
          <t>Isabella</t>
        </is>
      </c>
      <c r="G76" s="87" t="inlineStr">
        <is>
          <t>F</t>
        </is>
      </c>
      <c r="H76" s="78" t="n"/>
      <c r="I76" s="87" t="n"/>
      <c r="J76" s="87" t="inlineStr">
        <is>
          <t>Pendente</t>
        </is>
      </c>
      <c r="K76" s="60" t="n">
        <v>46072</v>
      </c>
      <c r="L76" s="87">
        <f>TEXT(A76,"mmmm")</f>
        <v/>
      </c>
      <c r="N76" s="87" t="n"/>
    </row>
    <row r="77" s="83">
      <c r="A77" s="60" t="n">
        <v>46063</v>
      </c>
      <c r="B77" s="60" t="n">
        <v>46066</v>
      </c>
      <c r="C77" s="60" t="n">
        <v>46069</v>
      </c>
      <c r="D77" s="87" t="inlineStr">
        <is>
          <t>ARTUR RAMOS PEREIRA</t>
        </is>
      </c>
      <c r="E77" s="87" t="inlineStr">
        <is>
          <t>Suhai</t>
        </is>
      </c>
      <c r="F77" s="87" t="inlineStr">
        <is>
          <t>Isabella</t>
        </is>
      </c>
      <c r="G77" s="87" t="inlineStr">
        <is>
          <t>F</t>
        </is>
      </c>
      <c r="H77" s="78" t="n"/>
      <c r="I77" s="87" t="n"/>
      <c r="J77" s="87" t="inlineStr">
        <is>
          <t>Pendente</t>
        </is>
      </c>
      <c r="K77" s="60" t="n">
        <v>46072</v>
      </c>
      <c r="L77" s="87">
        <f>TEXT(A77,"mmmm")</f>
        <v/>
      </c>
      <c r="N77" s="87" t="n"/>
      <c r="O77" s="62" t="n"/>
      <c r="X77" s="87" t="n"/>
      <c r="Y77" s="87" t="n"/>
    </row>
    <row r="78" s="83">
      <c r="A78" s="60" t="n">
        <v>46063</v>
      </c>
      <c r="B78" s="60" t="n">
        <v>46066</v>
      </c>
      <c r="C78" s="60" t="n">
        <v>46069</v>
      </c>
      <c r="D78" s="87" t="inlineStr">
        <is>
          <t>GABRIEL RODRIGUES DA SILVA</t>
        </is>
      </c>
      <c r="E78" s="87" t="inlineStr">
        <is>
          <t>Tokio</t>
        </is>
      </c>
      <c r="F78" s="87" t="inlineStr">
        <is>
          <t>Isabella</t>
        </is>
      </c>
      <c r="G78" s="87" t="inlineStr">
        <is>
          <t>F</t>
        </is>
      </c>
      <c r="H78" s="78" t="n"/>
      <c r="I78" s="87" t="n"/>
      <c r="J78" s="87" t="inlineStr">
        <is>
          <t>Pendente</t>
        </is>
      </c>
      <c r="K78" s="60" t="n">
        <v>46072</v>
      </c>
      <c r="L78" s="87">
        <f>TEXT(A78,"mmmm")</f>
        <v/>
      </c>
      <c r="N78" s="87" t="n"/>
      <c r="O78" s="62" t="n"/>
      <c r="X78" s="87" t="n"/>
      <c r="Y78" s="87" t="n"/>
    </row>
    <row r="79" s="83">
      <c r="A79" s="60" t="n">
        <v>46063</v>
      </c>
      <c r="B79" s="60" t="n">
        <v>46066</v>
      </c>
      <c r="C79" s="60" t="n">
        <v>46069</v>
      </c>
      <c r="D79" s="87" t="inlineStr">
        <is>
          <t>IGOR HENRIQUE DA ROCHA ARGOLO</t>
        </is>
      </c>
      <c r="E79" s="87" t="inlineStr">
        <is>
          <t>Azul</t>
        </is>
      </c>
      <c r="F79" s="87" t="inlineStr">
        <is>
          <t>John</t>
        </is>
      </c>
      <c r="G79" s="87" t="inlineStr">
        <is>
          <t>M</t>
        </is>
      </c>
      <c r="H79" s="78" t="n"/>
      <c r="I79" s="87" t="n"/>
      <c r="J79" s="87" t="inlineStr">
        <is>
          <t>Pendente</t>
        </is>
      </c>
      <c r="K79" s="60" t="n">
        <v>46072</v>
      </c>
      <c r="L79" s="87">
        <f>TEXT(A79,"mmmm")</f>
        <v/>
      </c>
      <c r="N79" s="87" t="n"/>
      <c r="O79" s="62" t="n"/>
      <c r="X79" s="87" t="n"/>
      <c r="Y79" s="87" t="n"/>
    </row>
    <row r="80">
      <c r="A80" s="60" t="n">
        <v>46063</v>
      </c>
      <c r="B80" s="60" t="n">
        <v>46066</v>
      </c>
      <c r="C80" s="60" t="n">
        <v>46069</v>
      </c>
      <c r="D80" s="87" t="inlineStr">
        <is>
          <t>JOSE AILTON DA SILVA</t>
        </is>
      </c>
      <c r="E80" s="87" t="inlineStr">
        <is>
          <t>Tokio</t>
        </is>
      </c>
      <c r="F80" s="87" t="inlineStr">
        <is>
          <t>John</t>
        </is>
      </c>
      <c r="G80" s="87" t="inlineStr">
        <is>
          <t>M</t>
        </is>
      </c>
      <c r="H80" s="78" t="n"/>
      <c r="I80" s="87" t="n"/>
      <c r="J80" s="87" t="inlineStr">
        <is>
          <t>Pendente</t>
        </is>
      </c>
      <c r="K80" s="60" t="n">
        <v>46072</v>
      </c>
      <c r="L80" s="87">
        <f>TEXT(A80,"mmmm")</f>
        <v/>
      </c>
      <c r="N80" s="87" t="n"/>
    </row>
    <row r="81" s="83">
      <c r="A81" s="60" t="n">
        <v>46063</v>
      </c>
      <c r="B81" s="60" t="n">
        <v>46066</v>
      </c>
      <c r="C81" s="60" t="n">
        <v>46069</v>
      </c>
      <c r="D81" s="87" t="inlineStr">
        <is>
          <t>JARDEL ITALO ALMEIDA RODRIGUES</t>
        </is>
      </c>
      <c r="E81" s="87" t="inlineStr">
        <is>
          <t>Azul</t>
        </is>
      </c>
      <c r="F81" s="87" t="inlineStr">
        <is>
          <t>John</t>
        </is>
      </c>
      <c r="G81" s="87" t="inlineStr">
        <is>
          <t>M</t>
        </is>
      </c>
      <c r="H81" s="78" t="n"/>
      <c r="I81" s="87" t="n"/>
      <c r="J81" s="87" t="inlineStr">
        <is>
          <t>Pendente</t>
        </is>
      </c>
      <c r="K81" s="60" t="n">
        <v>46072</v>
      </c>
      <c r="L81" s="87">
        <f>TEXT(A81,"mmmm")</f>
        <v/>
      </c>
      <c r="N81" s="87" t="n"/>
      <c r="O81" s="62" t="n"/>
      <c r="X81" s="87" t="n"/>
      <c r="Y81" s="87" t="n"/>
    </row>
    <row r="82" s="83">
      <c r="A82" s="60" t="n">
        <v>46063</v>
      </c>
      <c r="B82" s="60" t="n">
        <v>46066</v>
      </c>
      <c r="C82" s="60" t="n">
        <v>46069</v>
      </c>
      <c r="D82" s="87" t="inlineStr">
        <is>
          <t>VINICIUS AQUILINO LOPES</t>
        </is>
      </c>
      <c r="E82" s="87" t="inlineStr">
        <is>
          <t>Azul</t>
        </is>
      </c>
      <c r="F82" s="87" t="inlineStr">
        <is>
          <t>Jéssica</t>
        </is>
      </c>
      <c r="G82" s="87" t="inlineStr">
        <is>
          <t>F</t>
        </is>
      </c>
      <c r="H82" s="78" t="n"/>
      <c r="I82" s="87" t="n"/>
      <c r="J82" s="87" t="inlineStr">
        <is>
          <t>Pendente</t>
        </is>
      </c>
      <c r="K82" s="60" t="n">
        <v>46072</v>
      </c>
      <c r="L82" s="87">
        <f>TEXT(A82,"mmmm")</f>
        <v/>
      </c>
      <c r="N82" s="87" t="n"/>
      <c r="O82" s="62" t="n"/>
      <c r="X82" s="87" t="n"/>
      <c r="Y82" s="87" t="n"/>
    </row>
    <row r="83" s="83">
      <c r="A83" s="60" t="n">
        <v>46064</v>
      </c>
      <c r="B83" s="60" t="n">
        <v>46067</v>
      </c>
      <c r="C83" s="60" t="n">
        <v>46070</v>
      </c>
      <c r="D83" s="87" t="inlineStr">
        <is>
          <t>ADELINO DOS SANTOS NASCIMENTO</t>
        </is>
      </c>
      <c r="E83" s="87" t="inlineStr">
        <is>
          <t>Suhai</t>
        </is>
      </c>
      <c r="F83" s="87" t="inlineStr">
        <is>
          <t>Leticia</t>
        </is>
      </c>
      <c r="G83" s="87" t="inlineStr">
        <is>
          <t>F</t>
        </is>
      </c>
      <c r="H83" s="78" t="n"/>
      <c r="I83" s="87" t="n"/>
      <c r="J83" s="87" t="inlineStr">
        <is>
          <t>Pendente</t>
        </is>
      </c>
      <c r="K83" s="60" t="n">
        <v>46073</v>
      </c>
      <c r="L83" s="87">
        <f>TEXT(A83,"mmmm")</f>
        <v/>
      </c>
      <c r="N83" s="87" t="n"/>
      <c r="O83" s="62" t="n"/>
      <c r="X83" s="87" t="n"/>
      <c r="Y83" s="87" t="n"/>
    </row>
    <row r="84" ht="15" customHeight="1" s="83">
      <c r="A84" s="60" t="n">
        <v>46064</v>
      </c>
      <c r="B84" s="60" t="n">
        <v>46067</v>
      </c>
      <c r="C84" s="60" t="n">
        <v>46070</v>
      </c>
      <c r="D84" s="87" t="inlineStr">
        <is>
          <t>BRUCE WALLACE STOCCO</t>
        </is>
      </c>
      <c r="E84" s="87" t="inlineStr">
        <is>
          <t>Azul</t>
        </is>
      </c>
      <c r="F84" s="87" t="inlineStr">
        <is>
          <t>Isabella</t>
        </is>
      </c>
      <c r="G84" s="87" t="inlineStr">
        <is>
          <t>F</t>
        </is>
      </c>
      <c r="H84" s="78" t="n"/>
      <c r="I84" s="87" t="n"/>
      <c r="J84" s="87" t="inlineStr">
        <is>
          <t>Pendente</t>
        </is>
      </c>
      <c r="K84" s="60" t="n">
        <v>46073</v>
      </c>
      <c r="L84" s="87">
        <f>TEXT(A84,"mmmm")</f>
        <v/>
      </c>
      <c r="N84" s="87" t="n"/>
      <c r="O84" s="62" t="n"/>
      <c r="X84" s="87" t="n"/>
      <c r="Y84" s="87" t="n"/>
    </row>
    <row r="85" ht="13.5" customHeight="1" s="83">
      <c r="A85" s="60" t="n">
        <v>46064</v>
      </c>
      <c r="B85" s="60" t="n">
        <v>46067</v>
      </c>
      <c r="C85" s="60" t="n">
        <v>46070</v>
      </c>
      <c r="D85" s="87" t="inlineStr">
        <is>
          <t>RICARDO AUGUSTO DE BARROS</t>
        </is>
      </c>
      <c r="E85" s="87" t="inlineStr">
        <is>
          <t>Suhai</t>
        </is>
      </c>
      <c r="F85" s="87" t="inlineStr">
        <is>
          <t>Leticia</t>
        </is>
      </c>
      <c r="G85" s="87" t="inlineStr">
        <is>
          <t>F</t>
        </is>
      </c>
      <c r="H85" s="78" t="n"/>
      <c r="I85" s="87" t="n"/>
      <c r="J85" s="87" t="inlineStr">
        <is>
          <t>Pendente</t>
        </is>
      </c>
      <c r="K85" s="60" t="n">
        <v>46073</v>
      </c>
      <c r="L85" s="87">
        <f>TEXT(A85,"mmmm")</f>
        <v/>
      </c>
      <c r="N85" s="87" t="n"/>
      <c r="O85" s="62" t="n"/>
      <c r="X85" s="87" t="n"/>
      <c r="Y85" s="87" t="n"/>
    </row>
    <row r="86" ht="15" customHeight="1" s="83">
      <c r="A86" s="60" t="n">
        <v>46064</v>
      </c>
      <c r="B86" s="60" t="n">
        <v>46067</v>
      </c>
      <c r="C86" s="60" t="n">
        <v>46070</v>
      </c>
      <c r="D86" s="87" t="inlineStr">
        <is>
          <t>WELLINGTON OLIVEIRA DA SILVA</t>
        </is>
      </c>
      <c r="E86" s="87" t="inlineStr">
        <is>
          <t>Itaú</t>
        </is>
      </c>
      <c r="F86" s="87" t="inlineStr">
        <is>
          <t>Jacqueline</t>
        </is>
      </c>
      <c r="G86" s="87" t="inlineStr">
        <is>
          <t>F</t>
        </is>
      </c>
      <c r="H86" s="78" t="n"/>
      <c r="I86" s="87" t="n"/>
      <c r="J86" s="87" t="inlineStr">
        <is>
          <t>Pendente</t>
        </is>
      </c>
      <c r="K86" s="60" t="n">
        <v>46073</v>
      </c>
      <c r="L86" s="87">
        <f>TEXT(A86,"mmmm")</f>
        <v/>
      </c>
      <c r="N86" s="87" t="n"/>
      <c r="O86" s="62" t="n"/>
      <c r="X86" s="87" t="n"/>
      <c r="Y86" s="87" t="n"/>
    </row>
    <row r="87" ht="15" customHeight="1" s="83">
      <c r="A87" s="60" t="n">
        <v>46064</v>
      </c>
      <c r="B87" s="60" t="n">
        <v>46067</v>
      </c>
      <c r="C87" s="60" t="n">
        <v>46070</v>
      </c>
      <c r="D87" s="87" t="inlineStr">
        <is>
          <t>RYAN LOPES DE JESUS</t>
        </is>
      </c>
      <c r="E87" s="87" t="inlineStr">
        <is>
          <t>Suhai</t>
        </is>
      </c>
      <c r="F87" s="87" t="inlineStr">
        <is>
          <t>Jacqueline</t>
        </is>
      </c>
      <c r="G87" s="87" t="inlineStr">
        <is>
          <t>F</t>
        </is>
      </c>
      <c r="H87" s="78" t="n"/>
      <c r="I87" s="87" t="n"/>
      <c r="J87" s="87" t="inlineStr">
        <is>
          <t>Pendente</t>
        </is>
      </c>
      <c r="K87" s="60" t="n">
        <v>46073</v>
      </c>
      <c r="L87" s="87">
        <f>TEXT(A87,"mmmm")</f>
        <v/>
      </c>
      <c r="N87" s="87" t="n"/>
      <c r="O87" s="62" t="n"/>
      <c r="X87" s="87" t="n"/>
      <c r="Y87" s="87" t="n"/>
    </row>
    <row r="88" ht="15" customHeight="1" s="83">
      <c r="A88" s="60" t="n">
        <v>46064</v>
      </c>
      <c r="B88" s="60" t="n">
        <v>46067</v>
      </c>
      <c r="C88" s="60" t="n">
        <v>46070</v>
      </c>
      <c r="D88" s="87" t="inlineStr">
        <is>
          <t>ADAILTON PEREIRA LIMA</t>
        </is>
      </c>
      <c r="E88" s="87" t="inlineStr">
        <is>
          <t>Tokio</t>
        </is>
      </c>
      <c r="F88" s="87" t="inlineStr">
        <is>
          <t>John</t>
        </is>
      </c>
      <c r="G88" s="87" t="inlineStr">
        <is>
          <t>M</t>
        </is>
      </c>
      <c r="H88" s="78" t="n"/>
      <c r="I88" s="87" t="n"/>
      <c r="J88" s="87" t="inlineStr">
        <is>
          <t>Pendente</t>
        </is>
      </c>
      <c r="K88" s="60" t="n">
        <v>46073</v>
      </c>
      <c r="L88" s="87">
        <f>TEXT(A88,"mmmm")</f>
        <v/>
      </c>
      <c r="N88" s="87" t="n"/>
      <c r="O88" s="62" t="n"/>
      <c r="X88" s="87" t="n"/>
      <c r="Y88" s="87" t="n"/>
    </row>
    <row r="89" ht="15" customHeight="1" s="83">
      <c r="A89" s="60" t="n">
        <v>46065</v>
      </c>
      <c r="B89" s="60" t="n">
        <v>46068</v>
      </c>
      <c r="C89" s="60" t="n">
        <v>46071</v>
      </c>
      <c r="D89" s="87" t="inlineStr">
        <is>
          <t>JOLVANO GOMES PEREIRA</t>
        </is>
      </c>
      <c r="E89" s="87" t="inlineStr">
        <is>
          <t>Tokio</t>
        </is>
      </c>
      <c r="F89" s="87" t="inlineStr">
        <is>
          <t>Enzo</t>
        </is>
      </c>
      <c r="G89" s="87" t="inlineStr">
        <is>
          <t>M</t>
        </is>
      </c>
      <c r="H89" s="75" t="n"/>
      <c r="I89" s="87" t="n"/>
      <c r="J89" s="87" t="inlineStr">
        <is>
          <t>Pendente</t>
        </is>
      </c>
      <c r="K89" s="60" t="n">
        <v>46074</v>
      </c>
      <c r="L89" s="87">
        <f>TEXT(A89,"mmmm")</f>
        <v/>
      </c>
      <c r="N89" s="87" t="n"/>
      <c r="O89" s="62" t="n"/>
      <c r="X89" s="87" t="n"/>
      <c r="Y89" s="87" t="n"/>
    </row>
    <row r="90" s="83">
      <c r="A90" s="60" t="n">
        <v>46065</v>
      </c>
      <c r="B90" s="60" t="n">
        <v>46068</v>
      </c>
      <c r="C90" s="60" t="n">
        <v>46071</v>
      </c>
      <c r="D90" s="87" t="inlineStr">
        <is>
          <t>GLAUBER EVANGELISTA DE FREITAS</t>
        </is>
      </c>
      <c r="E90" s="87" t="inlineStr">
        <is>
          <t>Azul</t>
        </is>
      </c>
      <c r="F90" s="87" t="inlineStr">
        <is>
          <t>Isabella</t>
        </is>
      </c>
      <c r="G90" s="87" t="inlineStr">
        <is>
          <t>F</t>
        </is>
      </c>
      <c r="H90" s="78" t="n"/>
      <c r="I90" s="87" t="n"/>
      <c r="J90" s="87" t="inlineStr">
        <is>
          <t>Pendente</t>
        </is>
      </c>
      <c r="K90" s="60" t="n">
        <v>46074</v>
      </c>
      <c r="L90" s="87">
        <f>TEXT(A90,"mmmm")</f>
        <v/>
      </c>
      <c r="N90" s="87" t="n"/>
      <c r="O90" s="62" t="n"/>
      <c r="X90" s="87" t="n"/>
      <c r="Y90" s="87" t="n"/>
    </row>
    <row r="91" ht="15" customHeight="1" s="83">
      <c r="A91" s="60" t="n">
        <v>46065</v>
      </c>
      <c r="B91" s="60" t="n">
        <v>46068</v>
      </c>
      <c r="C91" s="60" t="n">
        <v>46071</v>
      </c>
      <c r="D91" s="87" t="inlineStr">
        <is>
          <t>DANILO SANCHES</t>
        </is>
      </c>
      <c r="E91" s="87" t="inlineStr">
        <is>
          <t>Allianz</t>
        </is>
      </c>
      <c r="F91" s="87" t="inlineStr">
        <is>
          <t>Myrelle</t>
        </is>
      </c>
      <c r="G91" s="87" t="inlineStr">
        <is>
          <t>F</t>
        </is>
      </c>
      <c r="H91" s="78" t="n"/>
      <c r="I91" s="87" t="n"/>
      <c r="J91" s="87" t="inlineStr">
        <is>
          <t>Pendente</t>
        </is>
      </c>
      <c r="K91" s="60" t="n">
        <v>46074</v>
      </c>
      <c r="L91" s="87">
        <f>TEXT(A91,"mmmm")</f>
        <v/>
      </c>
      <c r="N91" s="87" t="n"/>
      <c r="O91" s="62" t="n"/>
      <c r="X91" s="87" t="n"/>
      <c r="Y91" s="87" t="n"/>
    </row>
    <row r="92" s="83">
      <c r="A92" s="60" t="n">
        <v>46065</v>
      </c>
      <c r="B92" s="60" t="n">
        <v>46068</v>
      </c>
      <c r="C92" s="60" t="n">
        <v>46071</v>
      </c>
      <c r="D92" s="87" t="inlineStr">
        <is>
          <t>DEBORA MARCELLE BATISTA FERREIRA DA SILVA</t>
        </is>
      </c>
      <c r="E92" s="87" t="inlineStr">
        <is>
          <t>Suhai</t>
        </is>
      </c>
      <c r="F92" s="87" t="inlineStr">
        <is>
          <t>Jacqueline</t>
        </is>
      </c>
      <c r="G92" s="87" t="inlineStr">
        <is>
          <t>F</t>
        </is>
      </c>
      <c r="H92" s="78" t="n"/>
      <c r="I92" s="87" t="n"/>
      <c r="J92" s="87" t="inlineStr">
        <is>
          <t>Pendente</t>
        </is>
      </c>
      <c r="K92" s="60" t="n">
        <v>46074</v>
      </c>
      <c r="L92" s="87">
        <f>TEXT(A92,"mmmm")</f>
        <v/>
      </c>
      <c r="N92" s="87" t="n"/>
      <c r="O92" s="62" t="n"/>
      <c r="X92" s="87" t="n"/>
      <c r="Y92" s="87" t="n"/>
    </row>
    <row r="93" s="83">
      <c r="A93" s="60" t="n">
        <v>46065</v>
      </c>
      <c r="B93" s="60" t="n">
        <v>46068</v>
      </c>
      <c r="C93" s="60" t="n">
        <v>46071</v>
      </c>
      <c r="D93" s="87" t="inlineStr">
        <is>
          <t>APARECIDA DE FATIMA BALDUINO</t>
        </is>
      </c>
      <c r="E93" s="87" t="inlineStr">
        <is>
          <t>Tokio</t>
        </is>
      </c>
      <c r="F93" s="87" t="inlineStr">
        <is>
          <t>Jacqueline</t>
        </is>
      </c>
      <c r="G93" s="87" t="inlineStr">
        <is>
          <t>F</t>
        </is>
      </c>
      <c r="H93" s="78" t="n"/>
      <c r="I93" s="87" t="n"/>
      <c r="J93" s="87" t="inlineStr">
        <is>
          <t>Pendente</t>
        </is>
      </c>
      <c r="K93" s="60" t="n">
        <v>46074</v>
      </c>
      <c r="L93" s="87">
        <f>TEXT(A93,"mmmm")</f>
        <v/>
      </c>
      <c r="N93" s="87" t="n"/>
      <c r="O93" s="62" t="n"/>
      <c r="X93" s="87" t="n"/>
      <c r="Y93" s="87" t="n"/>
    </row>
    <row r="94" ht="15" customHeight="1" s="83">
      <c r="A94" s="60" t="n">
        <v>46065</v>
      </c>
      <c r="B94" s="60" t="n">
        <v>46068</v>
      </c>
      <c r="C94" s="60" t="n">
        <v>46071</v>
      </c>
      <c r="D94" s="87" t="inlineStr">
        <is>
          <t>NIVALDA MARIA ALVES DOS SANTOS</t>
        </is>
      </c>
      <c r="E94" s="87" t="inlineStr">
        <is>
          <t>Azul</t>
        </is>
      </c>
      <c r="F94" s="87" t="inlineStr">
        <is>
          <t>Leticia</t>
        </is>
      </c>
      <c r="G94" s="87" t="inlineStr">
        <is>
          <t>F</t>
        </is>
      </c>
      <c r="H94" s="78" t="n"/>
      <c r="I94" s="87" t="n"/>
      <c r="J94" s="87" t="inlineStr">
        <is>
          <t>Pendente</t>
        </is>
      </c>
      <c r="K94" s="60" t="n">
        <v>46074</v>
      </c>
      <c r="L94" s="87">
        <f>TEXT(A94,"mmmm")</f>
        <v/>
      </c>
    </row>
    <row r="95">
      <c r="A95" s="60" t="n">
        <v>46065</v>
      </c>
      <c r="B95" s="60" t="n">
        <v>46068</v>
      </c>
      <c r="C95" s="60" t="n">
        <v>46071</v>
      </c>
      <c r="D95" s="87" t="inlineStr">
        <is>
          <t>RICARDO AUGUSTO DE BARROS</t>
        </is>
      </c>
      <c r="E95" s="87" t="inlineStr">
        <is>
          <t>Azul</t>
        </is>
      </c>
      <c r="F95" s="87" t="inlineStr">
        <is>
          <t>Leticia</t>
        </is>
      </c>
      <c r="G95" s="87" t="inlineStr">
        <is>
          <t>F</t>
        </is>
      </c>
      <c r="H95" s="78" t="n"/>
      <c r="I95" s="87" t="n"/>
      <c r="J95" s="87" t="inlineStr">
        <is>
          <t>Pendente</t>
        </is>
      </c>
      <c r="K95" s="60" t="n">
        <v>46074</v>
      </c>
      <c r="L95" s="87">
        <f>TEXT(A95,"mmmm")</f>
        <v/>
      </c>
    </row>
    <row r="96">
      <c r="A96" s="60" t="n">
        <v>46065</v>
      </c>
      <c r="B96" s="60" t="n">
        <v>46068</v>
      </c>
      <c r="C96" s="60" t="n">
        <v>46071</v>
      </c>
      <c r="D96" s="87" t="inlineStr">
        <is>
          <t>KATIANE FELIPE DE MATTOS</t>
        </is>
      </c>
      <c r="E96" s="87" t="inlineStr">
        <is>
          <t>Azul</t>
        </is>
      </c>
      <c r="F96" s="87" t="inlineStr">
        <is>
          <t>John</t>
        </is>
      </c>
      <c r="G96" s="87" t="inlineStr">
        <is>
          <t>M</t>
        </is>
      </c>
      <c r="H96" s="78" t="n"/>
      <c r="I96" s="87" t="n"/>
      <c r="J96" s="87" t="inlineStr">
        <is>
          <t>Pendente</t>
        </is>
      </c>
      <c r="K96" s="60" t="n">
        <v>46074</v>
      </c>
      <c r="L96" s="87">
        <f>TEXT(A96,"mmmm")</f>
        <v/>
      </c>
    </row>
    <row r="97">
      <c r="A97" s="60" t="n">
        <v>46065</v>
      </c>
      <c r="B97" s="60" t="n">
        <v>46068</v>
      </c>
      <c r="C97" s="60" t="n">
        <v>46071</v>
      </c>
      <c r="D97" s="87" t="inlineStr">
        <is>
          <t>JOAO BATISTA DA CRUZ FILHO</t>
        </is>
      </c>
      <c r="E97" s="87" t="inlineStr">
        <is>
          <t>Itaú</t>
        </is>
      </c>
      <c r="F97" s="87" t="inlineStr">
        <is>
          <t>Jacqueline</t>
        </is>
      </c>
      <c r="G97" s="87" t="inlineStr">
        <is>
          <t>F</t>
        </is>
      </c>
      <c r="H97" s="78" t="n"/>
      <c r="I97" s="87" t="n"/>
      <c r="J97" s="87" t="inlineStr">
        <is>
          <t>Pendente</t>
        </is>
      </c>
      <c r="K97" s="60" t="n">
        <v>46074</v>
      </c>
      <c r="L97" s="87">
        <f>TEXT(A97,"mmmm")</f>
        <v/>
      </c>
    </row>
    <row r="98">
      <c r="A98" s="60" t="n">
        <v>46065</v>
      </c>
      <c r="B98" s="60" t="n">
        <v>46068</v>
      </c>
      <c r="C98" s="60" t="n">
        <v>46071</v>
      </c>
      <c r="D98" s="87" t="inlineStr">
        <is>
          <t>MARISA PORTO ORTIZ</t>
        </is>
      </c>
      <c r="E98" s="87" t="inlineStr">
        <is>
          <t>Mapfre</t>
        </is>
      </c>
      <c r="F98" s="87" t="inlineStr">
        <is>
          <t>Enzo</t>
        </is>
      </c>
      <c r="G98" s="87" t="inlineStr">
        <is>
          <t>M</t>
        </is>
      </c>
      <c r="H98" s="78" t="n"/>
      <c r="I98" s="87" t="n"/>
      <c r="J98" s="87" t="inlineStr">
        <is>
          <t>Pendente</t>
        </is>
      </c>
      <c r="K98" s="60" t="n">
        <v>46074</v>
      </c>
      <c r="L98" s="87">
        <f>TEXT(A98,"mmmm")</f>
        <v/>
      </c>
    </row>
    <row r="99">
      <c r="A99" s="60" t="n">
        <v>46065</v>
      </c>
      <c r="B99" s="60" t="n">
        <v>46068</v>
      </c>
      <c r="C99" s="60" t="n">
        <v>46071</v>
      </c>
      <c r="D99" s="87" t="inlineStr">
        <is>
          <t>ADAUTO BATISTA DE MORAES</t>
        </is>
      </c>
      <c r="E99" s="87" t="inlineStr">
        <is>
          <t>Azul</t>
        </is>
      </c>
      <c r="F99" s="87" t="inlineStr">
        <is>
          <t>Enzo</t>
        </is>
      </c>
      <c r="G99" s="87" t="inlineStr">
        <is>
          <t>M</t>
        </is>
      </c>
      <c r="H99" s="78" t="n"/>
      <c r="I99" s="87" t="n"/>
      <c r="J99" s="87" t="inlineStr">
        <is>
          <t>Pendente</t>
        </is>
      </c>
      <c r="K99" s="60" t="n">
        <v>46074</v>
      </c>
      <c r="L99" s="87">
        <f>TEXT(A99,"mmmm")</f>
        <v/>
      </c>
    </row>
    <row r="100">
      <c r="A100" s="60" t="n">
        <v>46065</v>
      </c>
      <c r="B100" s="60" t="n">
        <v>46068</v>
      </c>
      <c r="C100" s="60" t="n">
        <v>46071</v>
      </c>
      <c r="D100" s="87" t="inlineStr">
        <is>
          <t>LEONARDO GOECKS DE MEDEIROS</t>
        </is>
      </c>
      <c r="E100" s="87" t="inlineStr">
        <is>
          <t>Tokio</t>
        </is>
      </c>
      <c r="F100" s="87" t="inlineStr">
        <is>
          <t>Enzo</t>
        </is>
      </c>
      <c r="G100" s="87" t="inlineStr">
        <is>
          <t>M</t>
        </is>
      </c>
      <c r="H100" s="78" t="n"/>
      <c r="I100" s="87" t="n"/>
      <c r="J100" s="87" t="inlineStr">
        <is>
          <t>Pendente</t>
        </is>
      </c>
      <c r="K100" s="60" t="n">
        <v>46074</v>
      </c>
      <c r="L100" s="87">
        <f>TEXT(A100,"mmmm")</f>
        <v/>
      </c>
    </row>
    <row r="101">
      <c r="A101" s="60" t="n">
        <v>46065</v>
      </c>
      <c r="B101" s="60" t="n">
        <v>46068</v>
      </c>
      <c r="C101" s="60" t="n">
        <v>46071</v>
      </c>
      <c r="D101" s="87" t="inlineStr">
        <is>
          <t>YURI KAUA DA SILVA RODRIGUES</t>
        </is>
      </c>
      <c r="E101" s="87" t="inlineStr">
        <is>
          <t>Suhai</t>
        </is>
      </c>
      <c r="F101" s="87" t="inlineStr">
        <is>
          <t>Leticia</t>
        </is>
      </c>
      <c r="G101" s="87" t="inlineStr">
        <is>
          <t>F</t>
        </is>
      </c>
      <c r="H101" s="78" t="n"/>
      <c r="I101" s="87" t="n"/>
      <c r="J101" s="87" t="inlineStr">
        <is>
          <t>Pendente</t>
        </is>
      </c>
      <c r="K101" s="60" t="n">
        <v>46074</v>
      </c>
      <c r="L101" s="87">
        <f>TEXT(A101,"mmmm")</f>
        <v/>
      </c>
    </row>
    <row r="102">
      <c r="A102" s="60" t="n">
        <v>46066</v>
      </c>
      <c r="B102" s="60" t="n">
        <v>46069</v>
      </c>
      <c r="C102" s="60" t="n">
        <v>46072</v>
      </c>
      <c r="D102" s="87" t="inlineStr">
        <is>
          <t>JOHN LENNON LIMA DA SILVA</t>
        </is>
      </c>
      <c r="E102" s="87" t="inlineStr">
        <is>
          <t>Azul</t>
        </is>
      </c>
      <c r="F102" s="87" t="inlineStr">
        <is>
          <t>Enzo</t>
        </is>
      </c>
      <c r="G102" s="87" t="inlineStr">
        <is>
          <t>M</t>
        </is>
      </c>
      <c r="H102" s="78" t="n"/>
      <c r="I102" s="87" t="n"/>
      <c r="J102" s="87" t="inlineStr">
        <is>
          <t>Pendente</t>
        </is>
      </c>
      <c r="K102" s="60" t="n">
        <v>46075</v>
      </c>
      <c r="L102" s="87">
        <f>TEXT(A102,"mmmm")</f>
        <v/>
      </c>
    </row>
    <row r="103">
      <c r="A103" s="60" t="n">
        <v>46066</v>
      </c>
      <c r="B103" s="60" t="n">
        <v>46069</v>
      </c>
      <c r="C103" s="60" t="n">
        <v>46072</v>
      </c>
      <c r="D103" s="87" t="inlineStr">
        <is>
          <t>RODRIGO DUTRA DE OLIVEIRA</t>
        </is>
      </c>
      <c r="E103" s="87" t="inlineStr">
        <is>
          <t>Suhai</t>
        </is>
      </c>
      <c r="F103" s="87" t="inlineStr">
        <is>
          <t>Enzo</t>
        </is>
      </c>
      <c r="G103" s="87" t="inlineStr">
        <is>
          <t>M</t>
        </is>
      </c>
      <c r="H103" s="78" t="n"/>
      <c r="I103" s="87" t="n"/>
      <c r="J103" s="87" t="inlineStr">
        <is>
          <t>Pendente</t>
        </is>
      </c>
      <c r="K103" s="60" t="n">
        <v>46075</v>
      </c>
      <c r="L103" s="87">
        <f>TEXT(A103,"mmmm")</f>
        <v/>
      </c>
    </row>
    <row r="104">
      <c r="A104" s="60" t="n">
        <v>46066</v>
      </c>
      <c r="B104" s="60" t="n">
        <v>46069</v>
      </c>
      <c r="C104" s="60" t="n">
        <v>46072</v>
      </c>
      <c r="D104" s="87" t="inlineStr">
        <is>
          <t>FERNANDO GOUVEIA ARAUJO</t>
        </is>
      </c>
      <c r="E104" s="87" t="inlineStr">
        <is>
          <t>Azul</t>
        </is>
      </c>
      <c r="F104" s="87" t="inlineStr">
        <is>
          <t>Myrelle</t>
        </is>
      </c>
      <c r="G104" s="87" t="inlineStr">
        <is>
          <t>F</t>
        </is>
      </c>
      <c r="H104" s="78" t="n"/>
      <c r="I104" s="87" t="n"/>
      <c r="J104" s="87" t="inlineStr">
        <is>
          <t>Pendente</t>
        </is>
      </c>
      <c r="K104" s="60" t="n">
        <v>46075</v>
      </c>
      <c r="L104" s="87">
        <f>TEXT(A104,"mmmm")</f>
        <v/>
      </c>
    </row>
    <row r="105">
      <c r="A105" s="60" t="n">
        <v>46066</v>
      </c>
      <c r="B105" s="60" t="n">
        <v>46069</v>
      </c>
      <c r="C105" s="60" t="n">
        <v>46072</v>
      </c>
      <c r="D105" s="87" t="inlineStr">
        <is>
          <t>MAGALI APARECIDA MACHADO</t>
        </is>
      </c>
      <c r="E105" s="87" t="inlineStr">
        <is>
          <t>Azul</t>
        </is>
      </c>
      <c r="F105" s="87" t="inlineStr">
        <is>
          <t>John</t>
        </is>
      </c>
      <c r="G105" s="87" t="inlineStr">
        <is>
          <t>M</t>
        </is>
      </c>
      <c r="H105" s="78" t="n"/>
      <c r="I105" s="87" t="n"/>
      <c r="J105" s="87" t="inlineStr">
        <is>
          <t>Pendente</t>
        </is>
      </c>
      <c r="K105" s="60" t="n">
        <v>46075</v>
      </c>
      <c r="L105" s="87">
        <f>TEXT(A105,"mmmm")</f>
        <v/>
      </c>
    </row>
    <row r="106">
      <c r="A106" s="60" t="n">
        <v>46066</v>
      </c>
      <c r="B106" s="60" t="n">
        <v>46069</v>
      </c>
      <c r="C106" s="60" t="n">
        <v>46072</v>
      </c>
      <c r="D106" s="87" t="inlineStr">
        <is>
          <t>LIVIA MARTINS DE PAULO</t>
        </is>
      </c>
      <c r="E106" s="87" t="inlineStr">
        <is>
          <t>Azul</t>
        </is>
      </c>
      <c r="F106" s="87" t="inlineStr">
        <is>
          <t>John</t>
        </is>
      </c>
      <c r="G106" s="87" t="inlineStr">
        <is>
          <t>M</t>
        </is>
      </c>
      <c r="H106" s="78" t="n"/>
      <c r="I106" s="87" t="n"/>
      <c r="J106" s="87" t="inlineStr">
        <is>
          <t>Pendente</t>
        </is>
      </c>
      <c r="K106" s="60" t="n">
        <v>46075</v>
      </c>
      <c r="L106" s="87">
        <f>TEXT(A106,"mmmm")</f>
        <v/>
      </c>
      <c r="Q106" s="87" t="n"/>
      <c r="R106" s="87" t="n"/>
      <c r="S106" s="87" t="n"/>
      <c r="T106" s="87" t="n"/>
    </row>
    <row r="107" ht="15" customHeight="1" s="83">
      <c r="A107" s="60" t="n">
        <v>46066</v>
      </c>
      <c r="B107" s="60" t="n">
        <v>46069</v>
      </c>
      <c r="C107" s="60" t="n">
        <v>46072</v>
      </c>
      <c r="D107" s="87" t="inlineStr">
        <is>
          <t>SANDRA RACKI</t>
        </is>
      </c>
      <c r="E107" s="87" t="inlineStr">
        <is>
          <t>Azul</t>
        </is>
      </c>
      <c r="F107" s="87" t="inlineStr">
        <is>
          <t>John</t>
        </is>
      </c>
      <c r="G107" s="87" t="inlineStr">
        <is>
          <t>M</t>
        </is>
      </c>
      <c r="H107" s="78" t="n"/>
      <c r="I107" s="87" t="n"/>
      <c r="J107" s="87" t="inlineStr">
        <is>
          <t>Pendente</t>
        </is>
      </c>
      <c r="K107" s="60" t="n">
        <v>46075</v>
      </c>
      <c r="L107" s="87">
        <f>TEXT(A107,"mmmm")</f>
        <v/>
      </c>
    </row>
    <row r="108" customFormat="1" s="87">
      <c r="A108" s="60" t="n">
        <v>46066</v>
      </c>
      <c r="B108" s="60" t="n">
        <v>46069</v>
      </c>
      <c r="C108" s="60" t="n">
        <v>46072</v>
      </c>
      <c r="D108" s="87" t="inlineStr">
        <is>
          <t>JOSE MARIA DA SILVA</t>
        </is>
      </c>
      <c r="E108" s="87" t="inlineStr">
        <is>
          <t>Azul</t>
        </is>
      </c>
      <c r="F108" s="87" t="inlineStr">
        <is>
          <t>John</t>
        </is>
      </c>
      <c r="G108" s="87" t="inlineStr">
        <is>
          <t>M</t>
        </is>
      </c>
      <c r="H108" s="78" t="n"/>
      <c r="I108" s="87" t="n"/>
      <c r="J108" s="87" t="inlineStr">
        <is>
          <t>Pendente</t>
        </is>
      </c>
      <c r="K108" s="60" t="n">
        <v>46075</v>
      </c>
      <c r="L108" s="87">
        <f>TEXT(A108,"mmmm")</f>
        <v/>
      </c>
    </row>
    <row r="109">
      <c r="A109" s="60" t="n">
        <v>46066</v>
      </c>
      <c r="B109" s="60" t="n">
        <v>46069</v>
      </c>
      <c r="C109" s="60" t="n">
        <v>46072</v>
      </c>
      <c r="D109" s="87" t="inlineStr">
        <is>
          <t>VANER MENDES DA SILVA</t>
        </is>
      </c>
      <c r="E109" s="87" t="inlineStr">
        <is>
          <t>Tokio</t>
        </is>
      </c>
      <c r="F109" s="87" t="inlineStr">
        <is>
          <t>John</t>
        </is>
      </c>
      <c r="G109" s="87" t="inlineStr">
        <is>
          <t>M</t>
        </is>
      </c>
      <c r="H109" s="78" t="n"/>
      <c r="I109" s="87" t="n"/>
      <c r="J109" s="87" t="inlineStr">
        <is>
          <t>Pendente</t>
        </is>
      </c>
      <c r="K109" s="60" t="n">
        <v>46075</v>
      </c>
      <c r="L109" s="87">
        <f>TEXT(A109,"mmmm")</f>
        <v/>
      </c>
    </row>
    <row r="110">
      <c r="A110" s="60" t="n">
        <v>46071</v>
      </c>
      <c r="B110" s="60" t="n">
        <v>46074</v>
      </c>
      <c r="C110" s="60" t="n">
        <v>46077</v>
      </c>
      <c r="D110" s="87" t="inlineStr">
        <is>
          <t>JOSE FERNANDO FERREIRA</t>
        </is>
      </c>
      <c r="E110" s="87" t="inlineStr">
        <is>
          <t>Porto</t>
        </is>
      </c>
      <c r="F110" s="87" t="inlineStr">
        <is>
          <t>Jacqueline</t>
        </is>
      </c>
      <c r="G110" s="87" t="inlineStr">
        <is>
          <t>F</t>
        </is>
      </c>
      <c r="H110" s="78" t="n"/>
      <c r="I110" s="87" t="n"/>
      <c r="J110" s="87" t="inlineStr">
        <is>
          <t>Pendente</t>
        </is>
      </c>
      <c r="K110" s="60" t="n">
        <v>46080</v>
      </c>
      <c r="L110" s="87">
        <f>TEXT(A110,"mmmm")</f>
        <v/>
      </c>
    </row>
    <row r="111">
      <c r="A111" s="60" t="n">
        <v>46071</v>
      </c>
      <c r="B111" s="60" t="n">
        <v>46074</v>
      </c>
      <c r="C111" s="60" t="n">
        <v>46077</v>
      </c>
      <c r="D111" s="87" t="inlineStr">
        <is>
          <t>FRANCINE DE CARVALHO LUCIANO MOYA</t>
        </is>
      </c>
      <c r="E111" s="87" t="inlineStr">
        <is>
          <t>Allianz</t>
        </is>
      </c>
      <c r="F111" s="87" t="inlineStr">
        <is>
          <t>Jacqueline</t>
        </is>
      </c>
      <c r="G111" s="87" t="inlineStr">
        <is>
          <t>F</t>
        </is>
      </c>
      <c r="H111" s="78" t="n"/>
      <c r="I111" s="87" t="n"/>
      <c r="J111" s="87" t="inlineStr">
        <is>
          <t>Pendente</t>
        </is>
      </c>
      <c r="K111" s="60" t="n">
        <v>46080</v>
      </c>
      <c r="L111" s="87">
        <f>TEXT(A111,"mmmm")</f>
        <v/>
      </c>
    </row>
    <row r="112">
      <c r="A112" s="60" t="n">
        <v>46071</v>
      </c>
      <c r="B112" s="60" t="n">
        <v>46074</v>
      </c>
      <c r="C112" s="60" t="n">
        <v>46077</v>
      </c>
      <c r="D112" s="87" t="inlineStr">
        <is>
          <t>VAGNER RODRIGUES DOS SANTOS</t>
        </is>
      </c>
      <c r="E112" s="87" t="inlineStr">
        <is>
          <t>Mapfre</t>
        </is>
      </c>
      <c r="F112" s="87" t="inlineStr">
        <is>
          <t>Jacqueline</t>
        </is>
      </c>
      <c r="G112" s="87" t="inlineStr">
        <is>
          <t>F</t>
        </is>
      </c>
      <c r="H112" s="78" t="n"/>
      <c r="I112" s="87" t="n"/>
      <c r="J112" s="87" t="inlineStr">
        <is>
          <t>Pendente</t>
        </is>
      </c>
      <c r="K112" s="60" t="n">
        <v>46080</v>
      </c>
      <c r="L112" s="87">
        <f>TEXT(A112,"mmmm")</f>
        <v/>
      </c>
    </row>
    <row r="113">
      <c r="A113" s="60" t="n">
        <v>46071</v>
      </c>
      <c r="B113" s="60" t="n">
        <v>46074</v>
      </c>
      <c r="C113" s="60" t="n">
        <v>46077</v>
      </c>
      <c r="D113" s="87" t="inlineStr">
        <is>
          <t>DENISE ALESSANDRA EZIQUIEL</t>
        </is>
      </c>
      <c r="E113" s="87" t="inlineStr">
        <is>
          <t>Azul</t>
        </is>
      </c>
      <c r="F113" s="87" t="inlineStr">
        <is>
          <t>John</t>
        </is>
      </c>
      <c r="G113" s="87" t="inlineStr">
        <is>
          <t>M</t>
        </is>
      </c>
      <c r="H113" s="78" t="n"/>
      <c r="I113" s="87" t="n"/>
      <c r="J113" s="87" t="inlineStr">
        <is>
          <t>Pendente</t>
        </is>
      </c>
      <c r="K113" s="60" t="n">
        <v>46080</v>
      </c>
      <c r="L113" s="87">
        <f>TEXT(A113,"mmmm")</f>
        <v/>
      </c>
    </row>
    <row r="114">
      <c r="A114" s="60" t="n">
        <v>46071</v>
      </c>
      <c r="B114" s="60" t="n">
        <v>46074</v>
      </c>
      <c r="C114" s="60" t="n">
        <v>46077</v>
      </c>
      <c r="D114" s="87" t="inlineStr">
        <is>
          <t>IVANILDA TEREZINHA LIMA CABECA</t>
        </is>
      </c>
      <c r="E114" s="87" t="inlineStr">
        <is>
          <t>Tokio</t>
        </is>
      </c>
      <c r="F114" s="87" t="inlineStr">
        <is>
          <t>John</t>
        </is>
      </c>
      <c r="G114" s="87" t="inlineStr">
        <is>
          <t>M</t>
        </is>
      </c>
      <c r="H114" s="78" t="n"/>
      <c r="I114" s="87" t="n"/>
      <c r="J114" s="87" t="inlineStr">
        <is>
          <t>Pendente</t>
        </is>
      </c>
      <c r="K114" s="60" t="n">
        <v>46080</v>
      </c>
      <c r="L114" s="87">
        <f>TEXT(A114,"mmmm")</f>
        <v/>
      </c>
    </row>
    <row r="115">
      <c r="A115" s="60" t="n">
        <v>46071</v>
      </c>
      <c r="B115" s="60" t="n">
        <v>46074</v>
      </c>
      <c r="C115" s="60" t="n">
        <v>46077</v>
      </c>
      <c r="D115" s="87" t="inlineStr">
        <is>
          <t>APARECIDA DE OLIVEIRA DOS SANTOS SILVA</t>
        </is>
      </c>
      <c r="E115" s="87" t="inlineStr">
        <is>
          <t>Azul</t>
        </is>
      </c>
      <c r="F115" s="87" t="inlineStr">
        <is>
          <t>John</t>
        </is>
      </c>
      <c r="G115" s="87" t="inlineStr">
        <is>
          <t>M</t>
        </is>
      </c>
      <c r="H115" s="78" t="n"/>
      <c r="I115" s="87" t="n"/>
      <c r="J115" s="87" t="inlineStr">
        <is>
          <t>Pendente</t>
        </is>
      </c>
      <c r="K115" s="60" t="n">
        <v>46080</v>
      </c>
      <c r="L115" s="87">
        <f>TEXT(A115,"mmmm")</f>
        <v/>
      </c>
    </row>
    <row r="116">
      <c r="A116" s="60" t="n">
        <v>46071</v>
      </c>
      <c r="B116" s="60" t="n">
        <v>46074</v>
      </c>
      <c r="C116" s="60" t="n">
        <v>46077</v>
      </c>
      <c r="D116" s="87" t="inlineStr">
        <is>
          <t>DENYS FRANCISCO DE FREITAS</t>
        </is>
      </c>
      <c r="E116" s="87" t="inlineStr">
        <is>
          <t>Suhai</t>
        </is>
      </c>
      <c r="F116" s="87" t="inlineStr">
        <is>
          <t>John</t>
        </is>
      </c>
      <c r="G116" s="87" t="inlineStr">
        <is>
          <t>M</t>
        </is>
      </c>
      <c r="H116" s="78" t="n"/>
      <c r="I116" s="87" t="n"/>
      <c r="J116" s="87" t="inlineStr">
        <is>
          <t>Pendente</t>
        </is>
      </c>
      <c r="K116" s="60" t="n">
        <v>46080</v>
      </c>
      <c r="L116" s="87">
        <f>TEXT(A116,"mmmm")</f>
        <v/>
      </c>
    </row>
    <row r="117">
      <c r="A117" s="60" t="n">
        <v>46072</v>
      </c>
      <c r="B117" s="60" t="n">
        <v>46075</v>
      </c>
      <c r="C117" s="60" t="n">
        <v>46078</v>
      </c>
      <c r="D117" s="87" t="inlineStr">
        <is>
          <t>ELIAZAR ROSENDO DE SALES</t>
        </is>
      </c>
      <c r="E117" s="87" t="inlineStr">
        <is>
          <t>Allianz</t>
        </is>
      </c>
      <c r="F117" s="87" t="inlineStr">
        <is>
          <t>Leticia</t>
        </is>
      </c>
      <c r="G117" s="87" t="inlineStr">
        <is>
          <t>F</t>
        </is>
      </c>
      <c r="H117" s="78" t="n"/>
      <c r="I117" s="87" t="n"/>
      <c r="J117" s="87" t="inlineStr">
        <is>
          <t>Pendente</t>
        </is>
      </c>
      <c r="K117" s="60" t="n">
        <v>46081</v>
      </c>
      <c r="L117" s="87">
        <f>TEXT(A117,"mmmm")</f>
        <v/>
      </c>
    </row>
    <row r="118">
      <c r="A118" s="60" t="n">
        <v>46072</v>
      </c>
      <c r="B118" s="60" t="n">
        <v>46075</v>
      </c>
      <c r="C118" s="60" t="n">
        <v>46078</v>
      </c>
      <c r="D118" s="87" t="inlineStr">
        <is>
          <t>LUCAS GABRIEL DOS SANTOS</t>
        </is>
      </c>
      <c r="E118" s="87" t="inlineStr">
        <is>
          <t>Tokio</t>
        </is>
      </c>
      <c r="F118" s="87" t="inlineStr">
        <is>
          <t>John</t>
        </is>
      </c>
      <c r="G118" s="87" t="inlineStr">
        <is>
          <t>M</t>
        </is>
      </c>
      <c r="H118" s="78" t="n"/>
      <c r="I118" s="87" t="n"/>
      <c r="J118" s="87" t="inlineStr">
        <is>
          <t>Pendente</t>
        </is>
      </c>
      <c r="K118" s="60" t="n">
        <v>46081</v>
      </c>
      <c r="L118" s="87">
        <f>TEXT(A118,"mmmm")</f>
        <v/>
      </c>
    </row>
    <row r="119">
      <c r="A119" s="60" t="n">
        <v>46072</v>
      </c>
      <c r="B119" s="60" t="n">
        <v>46075</v>
      </c>
      <c r="C119" s="60" t="n">
        <v>46078</v>
      </c>
      <c r="D119" s="87" t="inlineStr">
        <is>
          <t>AGUINALDO GONCALVES</t>
        </is>
      </c>
      <c r="E119" s="87" t="inlineStr">
        <is>
          <t>Porto</t>
        </is>
      </c>
      <c r="F119" s="87" t="inlineStr">
        <is>
          <t>John</t>
        </is>
      </c>
      <c r="G119" s="87" t="inlineStr">
        <is>
          <t>M</t>
        </is>
      </c>
      <c r="H119" s="78" t="n"/>
      <c r="I119" s="87" t="n"/>
      <c r="J119" s="87" t="inlineStr">
        <is>
          <t>Pendente</t>
        </is>
      </c>
      <c r="K119" s="60" t="n">
        <v>46081</v>
      </c>
      <c r="L119" s="87">
        <f>TEXT(A119,"mmmm")</f>
        <v/>
      </c>
    </row>
    <row r="120">
      <c r="A120" s="60" t="n">
        <v>46072</v>
      </c>
      <c r="B120" s="60" t="n">
        <v>46075</v>
      </c>
      <c r="C120" s="60" t="n">
        <v>46078</v>
      </c>
      <c r="D120" s="87" t="inlineStr">
        <is>
          <t>CILENE GONCALVES DE LIMA</t>
        </is>
      </c>
      <c r="E120" s="87" t="inlineStr">
        <is>
          <t>Suhai</t>
        </is>
      </c>
      <c r="F120" s="87" t="inlineStr">
        <is>
          <t>Jacqueline</t>
        </is>
      </c>
      <c r="G120" s="87" t="inlineStr">
        <is>
          <t>F</t>
        </is>
      </c>
      <c r="H120" s="78" t="n"/>
      <c r="I120" s="87" t="n"/>
      <c r="J120" s="87" t="inlineStr">
        <is>
          <t>Pendente</t>
        </is>
      </c>
      <c r="K120" s="60" t="n">
        <v>46081</v>
      </c>
      <c r="L120" s="87">
        <f>TEXT(A120,"mmmm")</f>
        <v/>
      </c>
    </row>
    <row r="121">
      <c r="A121" s="60" t="n">
        <v>46072</v>
      </c>
      <c r="B121" s="60" t="n">
        <v>46075</v>
      </c>
      <c r="C121" s="60" t="n">
        <v>46078</v>
      </c>
      <c r="D121" s="87" t="inlineStr">
        <is>
          <t>LEANDRO FERNANDES</t>
        </is>
      </c>
      <c r="E121" s="87" t="inlineStr">
        <is>
          <t>Azul</t>
        </is>
      </c>
      <c r="F121" s="87" t="inlineStr">
        <is>
          <t>Jacqueline</t>
        </is>
      </c>
      <c r="G121" s="87" t="inlineStr">
        <is>
          <t>F</t>
        </is>
      </c>
      <c r="H121" s="78" t="n"/>
      <c r="I121" s="87" t="n"/>
      <c r="J121" s="87" t="inlineStr">
        <is>
          <t>Pendente</t>
        </is>
      </c>
      <c r="K121" s="60" t="n">
        <v>46081</v>
      </c>
      <c r="L121" s="87">
        <f>TEXT(A121,"mmmm")</f>
        <v/>
      </c>
    </row>
    <row r="122">
      <c r="A122" s="60" t="n">
        <v>46072</v>
      </c>
      <c r="B122" s="60" t="n">
        <v>46075</v>
      </c>
      <c r="C122" s="60" t="n">
        <v>46078</v>
      </c>
      <c r="D122" s="87" t="inlineStr">
        <is>
          <t>ARY DEAMO ALVES JUNIOR</t>
        </is>
      </c>
      <c r="E122" s="87" t="inlineStr">
        <is>
          <t>Azul</t>
        </is>
      </c>
      <c r="F122" s="87" t="inlineStr">
        <is>
          <t>Jacqueline</t>
        </is>
      </c>
      <c r="G122" s="87" t="inlineStr">
        <is>
          <t>F</t>
        </is>
      </c>
      <c r="H122" s="78" t="n"/>
      <c r="I122" s="87" t="n"/>
      <c r="J122" s="87" t="inlineStr">
        <is>
          <t>Pendente</t>
        </is>
      </c>
      <c r="K122" s="60" t="n">
        <v>46081</v>
      </c>
      <c r="L122" s="87">
        <f>TEXT(A122,"mmmm")</f>
        <v/>
      </c>
    </row>
    <row r="123">
      <c r="A123" s="60" t="n">
        <v>46072</v>
      </c>
      <c r="B123" s="60" t="n">
        <v>46075</v>
      </c>
      <c r="C123" s="60" t="n">
        <v>46078</v>
      </c>
      <c r="D123" s="87" t="inlineStr">
        <is>
          <t>NATHAN LEVY TARTAROTTI FIALHO</t>
        </is>
      </c>
      <c r="E123" s="87" t="inlineStr">
        <is>
          <t>Azul</t>
        </is>
      </c>
      <c r="F123" s="87" t="inlineStr">
        <is>
          <t>Myrelle</t>
        </is>
      </c>
      <c r="G123" s="87" t="inlineStr">
        <is>
          <t>F</t>
        </is>
      </c>
      <c r="H123" s="78" t="n"/>
      <c r="I123" s="87" t="n"/>
      <c r="J123" s="87" t="inlineStr">
        <is>
          <t>Pendente</t>
        </is>
      </c>
      <c r="K123" s="60" t="n">
        <v>46081</v>
      </c>
      <c r="L123" s="87">
        <f>TEXT(A123,"mmmm")</f>
        <v/>
      </c>
    </row>
    <row r="124">
      <c r="A124" s="60" t="n">
        <v>46072</v>
      </c>
      <c r="B124" s="60" t="n">
        <v>46075</v>
      </c>
      <c r="C124" s="60" t="n">
        <v>46078</v>
      </c>
      <c r="D124" s="87" t="inlineStr">
        <is>
          <t>GILDACIO DA SILVA PESSOA</t>
        </is>
      </c>
      <c r="E124" s="87" t="inlineStr">
        <is>
          <t>Allianz</t>
        </is>
      </c>
      <c r="F124" s="87" t="inlineStr">
        <is>
          <t>Myrelle</t>
        </is>
      </c>
      <c r="G124" s="87" t="inlineStr">
        <is>
          <t>F</t>
        </is>
      </c>
      <c r="H124" s="78" t="n"/>
      <c r="I124" s="87" t="n"/>
      <c r="J124" s="87" t="inlineStr">
        <is>
          <t>Pendente</t>
        </is>
      </c>
      <c r="K124" s="60" t="n">
        <v>46081</v>
      </c>
      <c r="L124" s="87">
        <f>TEXT(A124,"mmmm")</f>
        <v/>
      </c>
    </row>
    <row r="125">
      <c r="A125" s="60" t="n">
        <v>46072</v>
      </c>
      <c r="B125" s="60" t="n">
        <v>46075</v>
      </c>
      <c r="C125" s="60" t="n">
        <v>46078</v>
      </c>
      <c r="D125" s="87" t="inlineStr">
        <is>
          <t>THAINARA MARTINS DA SILVA</t>
        </is>
      </c>
      <c r="E125" s="87" t="inlineStr">
        <is>
          <t>Itaú</t>
        </is>
      </c>
      <c r="F125" s="87" t="inlineStr">
        <is>
          <t>John</t>
        </is>
      </c>
      <c r="G125" s="87" t="inlineStr">
        <is>
          <t>M</t>
        </is>
      </c>
      <c r="H125" s="78" t="n"/>
      <c r="I125" s="87" t="n"/>
      <c r="J125" s="87" t="inlineStr">
        <is>
          <t>Pendente</t>
        </is>
      </c>
      <c r="K125" s="60" t="n">
        <v>46081</v>
      </c>
      <c r="L125" s="87">
        <f>TEXT(A125,"mmmm")</f>
        <v/>
      </c>
    </row>
    <row r="126">
      <c r="A126" s="60" t="n">
        <v>46072</v>
      </c>
      <c r="B126" s="60" t="n">
        <v>46075</v>
      </c>
      <c r="C126" s="60" t="n">
        <v>46078</v>
      </c>
      <c r="D126" s="87" t="inlineStr">
        <is>
          <t>JOSE VICENTE BORBOREMA</t>
        </is>
      </c>
      <c r="E126" s="87" t="inlineStr">
        <is>
          <t>Porto</t>
        </is>
      </c>
      <c r="F126" s="87" t="inlineStr">
        <is>
          <t>John</t>
        </is>
      </c>
      <c r="G126" s="87" t="inlineStr">
        <is>
          <t>M</t>
        </is>
      </c>
      <c r="H126" s="78" t="n"/>
      <c r="I126" s="87" t="n"/>
      <c r="J126" s="87" t="inlineStr">
        <is>
          <t>Pendente</t>
        </is>
      </c>
      <c r="K126" s="60" t="n">
        <v>46081</v>
      </c>
      <c r="L126" s="87">
        <f>TEXT(A126,"mmmm")</f>
        <v/>
      </c>
    </row>
    <row r="127">
      <c r="A127" s="60" t="n">
        <v>46072</v>
      </c>
      <c r="B127" s="60" t="n">
        <v>46075</v>
      </c>
      <c r="C127" s="60" t="n">
        <v>46078</v>
      </c>
      <c r="D127" s="87" t="inlineStr">
        <is>
          <t>GABRIEL SILVA SANTOS</t>
        </is>
      </c>
      <c r="E127" s="87" t="inlineStr">
        <is>
          <t>Suhai</t>
        </is>
      </c>
      <c r="F127" s="87" t="inlineStr">
        <is>
          <t>John</t>
        </is>
      </c>
      <c r="G127" s="87" t="inlineStr">
        <is>
          <t>M</t>
        </is>
      </c>
      <c r="H127" s="78" t="n"/>
      <c r="I127" s="87" t="n"/>
      <c r="J127" s="87" t="inlineStr">
        <is>
          <t>Pendente</t>
        </is>
      </c>
      <c r="K127" s="60" t="n">
        <v>46081</v>
      </c>
      <c r="L127" s="87">
        <f>TEXT(A127,"mmmm")</f>
        <v/>
      </c>
    </row>
    <row r="128">
      <c r="A128" s="60" t="n">
        <v>46072</v>
      </c>
      <c r="B128" s="60" t="n">
        <v>46075</v>
      </c>
      <c r="C128" s="60" t="n">
        <v>46078</v>
      </c>
      <c r="D128" s="87" t="inlineStr">
        <is>
          <t>VINICIUS AQUILINO LOPES</t>
        </is>
      </c>
      <c r="E128" s="87" t="inlineStr">
        <is>
          <t>Suhai</t>
        </is>
      </c>
      <c r="F128" s="87" t="inlineStr">
        <is>
          <t>Jéssica</t>
        </is>
      </c>
      <c r="G128" s="87" t="inlineStr">
        <is>
          <t>F</t>
        </is>
      </c>
      <c r="H128" s="78" t="n"/>
      <c r="I128" s="87" t="n"/>
      <c r="J128" s="87" t="inlineStr">
        <is>
          <t>Pendente</t>
        </is>
      </c>
      <c r="K128" s="60" t="n">
        <v>46081</v>
      </c>
      <c r="L128" s="87">
        <f>TEXT(A128,"mmmm")</f>
        <v/>
      </c>
    </row>
    <row r="129">
      <c r="A129" s="60" t="n">
        <v>46073</v>
      </c>
      <c r="B129" s="60" t="n">
        <v>46076</v>
      </c>
      <c r="C129" s="60" t="n">
        <v>46079</v>
      </c>
      <c r="D129" s="87" t="inlineStr">
        <is>
          <t>LUIZ ROGERIO DIAS CUNHA</t>
        </is>
      </c>
      <c r="E129" s="87" t="inlineStr">
        <is>
          <t>Azul</t>
        </is>
      </c>
      <c r="F129" s="87" t="inlineStr">
        <is>
          <t>Enzo</t>
        </is>
      </c>
      <c r="G129" s="87" t="inlineStr">
        <is>
          <t>M</t>
        </is>
      </c>
      <c r="H129" s="78" t="n"/>
      <c r="I129" s="87" t="n"/>
      <c r="J129" s="87" t="inlineStr">
        <is>
          <t>Pendente</t>
        </is>
      </c>
      <c r="K129" s="60" t="n">
        <v>46082</v>
      </c>
      <c r="L129" s="87">
        <f>TEXT(A129,"mmmm")</f>
        <v/>
      </c>
    </row>
    <row r="130" s="83">
      <c r="A130" s="60" t="n">
        <v>46073</v>
      </c>
      <c r="B130" s="60" t="n">
        <v>46076</v>
      </c>
      <c r="C130" s="60" t="n">
        <v>46079</v>
      </c>
      <c r="D130" s="87" t="inlineStr">
        <is>
          <t>JULYANE LEONARDI PEREIRA ALENCAR</t>
        </is>
      </c>
      <c r="E130" s="87" t="inlineStr">
        <is>
          <t>Porto</t>
        </is>
      </c>
      <c r="F130" s="87" t="inlineStr">
        <is>
          <t>John</t>
        </is>
      </c>
      <c r="G130" s="87" t="inlineStr">
        <is>
          <t>M</t>
        </is>
      </c>
      <c r="H130" s="78" t="n"/>
      <c r="I130" s="87" t="n"/>
      <c r="J130" s="87" t="inlineStr">
        <is>
          <t>Pendente</t>
        </is>
      </c>
      <c r="K130" s="60" t="n">
        <v>46082</v>
      </c>
      <c r="L130" s="87">
        <f>TEXT(A130,"mmmm")</f>
        <v/>
      </c>
      <c r="N130" s="87" t="n"/>
      <c r="O130" s="62" t="n"/>
      <c r="X130" s="87" t="n"/>
      <c r="Y130" s="87" t="n"/>
    </row>
    <row r="131" customFormat="1" s="87">
      <c r="A131" s="60" t="n">
        <v>46073</v>
      </c>
      <c r="B131" s="60" t="n">
        <v>46076</v>
      </c>
      <c r="C131" s="60" t="n">
        <v>46079</v>
      </c>
      <c r="D131" s="87" t="inlineStr">
        <is>
          <t>RAQUEL LIMEIRA BARBOSA</t>
        </is>
      </c>
      <c r="E131" s="87" t="inlineStr">
        <is>
          <t>Azul</t>
        </is>
      </c>
      <c r="F131" s="87" t="inlineStr">
        <is>
          <t>John</t>
        </is>
      </c>
      <c r="G131" s="87" t="inlineStr">
        <is>
          <t>M</t>
        </is>
      </c>
      <c r="H131" s="75" t="n"/>
      <c r="I131" s="87" t="n"/>
      <c r="J131" s="87" t="inlineStr">
        <is>
          <t>Pendente</t>
        </is>
      </c>
      <c r="K131" s="60" t="n">
        <v>46082</v>
      </c>
      <c r="L131" s="87">
        <f>TEXT(A131,"mmmm")</f>
        <v/>
      </c>
    </row>
    <row r="132" s="83">
      <c r="A132" s="60" t="n">
        <v>46073</v>
      </c>
      <c r="B132" s="60" t="n">
        <v>46076</v>
      </c>
      <c r="C132" s="60" t="n">
        <v>46079</v>
      </c>
      <c r="D132" s="87" t="inlineStr">
        <is>
          <t>GELSIMAR DOS SANTOS</t>
        </is>
      </c>
      <c r="E132" s="87" t="inlineStr">
        <is>
          <t>Yellum</t>
        </is>
      </c>
      <c r="F132" s="87" t="inlineStr">
        <is>
          <t>Enzo</t>
        </is>
      </c>
      <c r="G132" s="87" t="inlineStr">
        <is>
          <t>M</t>
        </is>
      </c>
      <c r="H132" s="78" t="n"/>
      <c r="I132" s="87" t="n"/>
      <c r="J132" s="87" t="inlineStr">
        <is>
          <t>Pendente</t>
        </is>
      </c>
      <c r="K132" s="60" t="n">
        <v>46082</v>
      </c>
      <c r="L132" s="87">
        <f>TEXT(A132,"mmmm")</f>
        <v/>
      </c>
      <c r="N132" s="87" t="n"/>
      <c r="O132" s="62" t="n"/>
      <c r="X132" s="87" t="n"/>
      <c r="Y132" s="87" t="n"/>
    </row>
    <row r="133" ht="15" customHeight="1" s="83">
      <c r="A133" s="60" t="n">
        <v>46073</v>
      </c>
      <c r="B133" s="60" t="n">
        <v>46076</v>
      </c>
      <c r="C133" s="60" t="n">
        <v>46079</v>
      </c>
      <c r="D133" s="87" t="inlineStr">
        <is>
          <t>ROBERIO MANOEL DA SILVA</t>
        </is>
      </c>
      <c r="E133" s="87" t="inlineStr">
        <is>
          <t>Porto</t>
        </is>
      </c>
      <c r="F133" s="87" t="inlineStr">
        <is>
          <t>John</t>
        </is>
      </c>
      <c r="G133" s="87" t="inlineStr">
        <is>
          <t>M</t>
        </is>
      </c>
      <c r="H133" s="78" t="n"/>
      <c r="I133" s="87" t="n"/>
      <c r="J133" s="87" t="inlineStr">
        <is>
          <t>Pendente</t>
        </is>
      </c>
      <c r="K133" s="60" t="n">
        <v>46082</v>
      </c>
      <c r="L133" s="87">
        <f>TEXT(A133,"mmmm")</f>
        <v/>
      </c>
      <c r="N133" s="87" t="n"/>
      <c r="O133" s="62" t="n"/>
      <c r="X133" s="87" t="n"/>
      <c r="Y133" s="87" t="n"/>
    </row>
    <row r="134" ht="15" customHeight="1" s="83">
      <c r="A134" s="60" t="n">
        <v>46073</v>
      </c>
      <c r="B134" s="60" t="n">
        <v>46076</v>
      </c>
      <c r="C134" s="60" t="n">
        <v>46079</v>
      </c>
      <c r="D134" s="87" t="inlineStr">
        <is>
          <t xml:space="preserve">EDILON SEVERINO </t>
        </is>
      </c>
      <c r="E134" s="87" t="inlineStr">
        <is>
          <t>Allianz</t>
        </is>
      </c>
      <c r="F134" s="87" t="inlineStr">
        <is>
          <t>John</t>
        </is>
      </c>
      <c r="G134" s="87" t="inlineStr">
        <is>
          <t>M</t>
        </is>
      </c>
      <c r="H134" s="78" t="n"/>
      <c r="I134" s="87" t="n"/>
      <c r="J134" s="87" t="inlineStr">
        <is>
          <t>Pendente</t>
        </is>
      </c>
      <c r="K134" s="60" t="n">
        <v>46082</v>
      </c>
      <c r="L134" s="87">
        <f>TEXT(A134,"mmmm")</f>
        <v/>
      </c>
      <c r="N134" s="87" t="n"/>
      <c r="O134" s="62" t="n"/>
      <c r="X134" s="87" t="n"/>
      <c r="Y134" s="87" t="n"/>
    </row>
    <row r="135" ht="15" customHeight="1" s="83">
      <c r="A135" s="60" t="n">
        <v>46073</v>
      </c>
      <c r="B135" s="60" t="n">
        <v>46076</v>
      </c>
      <c r="C135" s="60" t="n">
        <v>46079</v>
      </c>
      <c r="D135" s="87" t="inlineStr">
        <is>
          <t>MILTON BATISTA SANTOS</t>
        </is>
      </c>
      <c r="E135" s="87" t="inlineStr">
        <is>
          <t>Suhai</t>
        </is>
      </c>
      <c r="F135" s="87" t="inlineStr">
        <is>
          <t>Myrelle</t>
        </is>
      </c>
      <c r="G135" s="87" t="inlineStr">
        <is>
          <t>F</t>
        </is>
      </c>
      <c r="H135" s="78" t="n"/>
      <c r="I135" s="87" t="n"/>
      <c r="J135" s="87" t="inlineStr">
        <is>
          <t>Pendente</t>
        </is>
      </c>
      <c r="K135" s="60" t="n">
        <v>46082</v>
      </c>
      <c r="L135" s="87">
        <f>TEXT(A135,"mmmm")</f>
        <v/>
      </c>
      <c r="N135" s="87" t="n"/>
      <c r="O135" s="62" t="n"/>
      <c r="X135" s="87" t="n"/>
      <c r="Y135" s="87" t="n"/>
    </row>
    <row r="136" ht="15" customHeight="1" s="83">
      <c r="A136" s="60" t="n">
        <v>46073</v>
      </c>
      <c r="B136" s="60" t="n">
        <v>46076</v>
      </c>
      <c r="C136" s="60" t="n">
        <v>46079</v>
      </c>
      <c r="D136" s="87" t="inlineStr">
        <is>
          <t>RONIERISON CAVALCANTI LIMA</t>
        </is>
      </c>
      <c r="E136" s="87" t="inlineStr">
        <is>
          <t>Azul</t>
        </is>
      </c>
      <c r="F136" s="87" t="inlineStr">
        <is>
          <t>Leticia</t>
        </is>
      </c>
      <c r="G136" s="87" t="inlineStr">
        <is>
          <t>F</t>
        </is>
      </c>
      <c r="H136" s="78" t="n"/>
      <c r="I136" s="87" t="n"/>
      <c r="J136" s="87" t="inlineStr">
        <is>
          <t>Pendente</t>
        </is>
      </c>
      <c r="K136" s="60" t="n">
        <v>46082</v>
      </c>
      <c r="L136" s="87">
        <f>TEXT(A136,"mmmm")</f>
        <v/>
      </c>
      <c r="N136" s="87" t="n"/>
      <c r="O136" s="62" t="n"/>
      <c r="X136" s="87" t="n"/>
      <c r="Y136" s="87" t="n"/>
    </row>
    <row r="137" ht="15" customHeight="1" s="83">
      <c r="A137" s="60" t="n">
        <v>46073</v>
      </c>
      <c r="B137" s="60" t="n">
        <v>46076</v>
      </c>
      <c r="C137" s="60" t="n">
        <v>46079</v>
      </c>
      <c r="D137" s="87" t="inlineStr">
        <is>
          <t>OSVALDO FRANCISCO CORREA</t>
        </is>
      </c>
      <c r="E137" s="87" t="inlineStr">
        <is>
          <t>Azul</t>
        </is>
      </c>
      <c r="F137" s="87" t="inlineStr">
        <is>
          <t>Leticia</t>
        </is>
      </c>
      <c r="G137" s="87" t="inlineStr">
        <is>
          <t>F</t>
        </is>
      </c>
      <c r="H137" s="78" t="n"/>
      <c r="I137" s="87" t="n"/>
      <c r="J137" s="87" t="inlineStr">
        <is>
          <t>Pendente</t>
        </is>
      </c>
      <c r="K137" s="60" t="n">
        <v>46082</v>
      </c>
      <c r="L137" s="87">
        <f>TEXT(A137,"mmmm")</f>
        <v/>
      </c>
      <c r="N137" s="87" t="n"/>
      <c r="O137" s="62" t="n"/>
      <c r="X137" s="87" t="n"/>
      <c r="Y137" s="87" t="n"/>
    </row>
    <row r="138" ht="15" customHeight="1" s="83">
      <c r="A138" s="60" t="n">
        <v>46073</v>
      </c>
      <c r="B138" s="60" t="n">
        <v>46076</v>
      </c>
      <c r="C138" s="60" t="n">
        <v>46079</v>
      </c>
      <c r="D138" s="87" t="inlineStr">
        <is>
          <t>DENISE REGINA DOS REIS</t>
        </is>
      </c>
      <c r="E138" s="87" t="inlineStr">
        <is>
          <t>Azul</t>
        </is>
      </c>
      <c r="F138" s="87" t="inlineStr">
        <is>
          <t>John</t>
        </is>
      </c>
      <c r="G138" s="87" t="inlineStr">
        <is>
          <t>M</t>
        </is>
      </c>
      <c r="H138" s="78" t="n"/>
      <c r="I138" s="87" t="n"/>
      <c r="J138" s="87" t="inlineStr">
        <is>
          <t>Pendente</t>
        </is>
      </c>
      <c r="K138" s="60" t="n">
        <v>46082</v>
      </c>
      <c r="L138" s="87">
        <f>TEXT(A138,"mmmm")</f>
        <v/>
      </c>
      <c r="N138" s="87" t="n"/>
      <c r="O138" s="62" t="n"/>
      <c r="X138" s="87" t="n"/>
      <c r="Y138" s="87" t="n"/>
    </row>
    <row r="139" ht="15" customHeight="1" s="83">
      <c r="A139" s="60" t="n">
        <v>46076</v>
      </c>
      <c r="B139" s="60" t="n">
        <v>46079</v>
      </c>
      <c r="C139" s="60" t="n">
        <v>46082</v>
      </c>
      <c r="D139" s="87" t="inlineStr">
        <is>
          <t>RONALDO TEIXEIRA DE MACEDO</t>
        </is>
      </c>
      <c r="E139" s="87" t="inlineStr">
        <is>
          <t>Azul</t>
        </is>
      </c>
      <c r="F139" s="87" t="inlineStr">
        <is>
          <t>John</t>
        </is>
      </c>
      <c r="G139" s="87" t="inlineStr">
        <is>
          <t>M</t>
        </is>
      </c>
      <c r="H139" s="78" t="n"/>
      <c r="I139" s="87" t="n"/>
      <c r="J139" s="87" t="inlineStr">
        <is>
          <t>Pendente</t>
        </is>
      </c>
      <c r="K139" s="60" t="n">
        <v>46085</v>
      </c>
      <c r="L139" s="87">
        <f>TEXT(A139,"mmmm")</f>
        <v/>
      </c>
      <c r="N139" s="87" t="n"/>
      <c r="O139" s="62" t="n"/>
      <c r="X139" s="87" t="n"/>
      <c r="Y139" s="87" t="n"/>
    </row>
    <row r="140" ht="15" customHeight="1" s="83">
      <c r="A140" s="60" t="n">
        <v>46076</v>
      </c>
      <c r="B140" s="60" t="n">
        <v>46079</v>
      </c>
      <c r="C140" s="60" t="n">
        <v>46082</v>
      </c>
      <c r="D140" s="87" t="inlineStr">
        <is>
          <t>FRANCISCO DE PAULO PEIXOTO ARAUJO</t>
        </is>
      </c>
      <c r="E140" s="87" t="inlineStr">
        <is>
          <t>Azul</t>
        </is>
      </c>
      <c r="F140" s="87" t="inlineStr">
        <is>
          <t>John</t>
        </is>
      </c>
      <c r="G140" s="87" t="inlineStr">
        <is>
          <t>M</t>
        </is>
      </c>
      <c r="H140" s="78" t="n"/>
      <c r="I140" s="87" t="n"/>
      <c r="J140" s="87" t="inlineStr">
        <is>
          <t>Pendente</t>
        </is>
      </c>
      <c r="K140" s="60" t="n">
        <v>46085</v>
      </c>
      <c r="L140" s="87">
        <f>TEXT(A140,"mmmm")</f>
        <v/>
      </c>
      <c r="N140" s="87" t="n"/>
      <c r="O140" s="62" t="n"/>
      <c r="X140" s="87" t="n"/>
      <c r="Y140" s="87" t="n"/>
    </row>
    <row r="141" ht="15" customFormat="1" customHeight="1" s="87">
      <c r="A141" s="60" t="n">
        <v>46076</v>
      </c>
      <c r="B141" s="60" t="n">
        <v>46079</v>
      </c>
      <c r="C141" s="60" t="n">
        <v>46082</v>
      </c>
      <c r="D141" s="87" t="inlineStr">
        <is>
          <t>CLAUDEMIR AUGUSTO DA SILVA</t>
        </is>
      </c>
      <c r="E141" s="87" t="inlineStr">
        <is>
          <t>Azul</t>
        </is>
      </c>
      <c r="F141" s="87" t="inlineStr">
        <is>
          <t>Jacqueline</t>
        </is>
      </c>
      <c r="G141" s="87" t="inlineStr">
        <is>
          <t>F</t>
        </is>
      </c>
      <c r="H141" s="75" t="n"/>
      <c r="I141" s="87" t="n"/>
      <c r="J141" s="87" t="inlineStr">
        <is>
          <t>Pendente</t>
        </is>
      </c>
      <c r="K141" s="60" t="n">
        <v>46085</v>
      </c>
      <c r="L141" s="87">
        <f>TEXT(A141,"mmmm")</f>
        <v/>
      </c>
      <c r="Q141" s="87" t="n"/>
      <c r="R141" s="87" t="n"/>
      <c r="S141" s="87" t="n"/>
      <c r="T141" s="87" t="n"/>
    </row>
    <row r="142" ht="15" customHeight="1" s="83">
      <c r="A142" s="60" t="n">
        <v>46076</v>
      </c>
      <c r="B142" s="60" t="n">
        <v>46079</v>
      </c>
      <c r="C142" s="60" t="n">
        <v>46082</v>
      </c>
      <c r="D142" s="87" t="inlineStr">
        <is>
          <t>ALUIZIO BATISTA DA SILVA</t>
        </is>
      </c>
      <c r="E142" s="87" t="inlineStr">
        <is>
          <t>Azul</t>
        </is>
      </c>
      <c r="F142" s="87" t="inlineStr">
        <is>
          <t>Jacqueline</t>
        </is>
      </c>
      <c r="G142" s="87" t="inlineStr">
        <is>
          <t>F</t>
        </is>
      </c>
      <c r="H142" s="78" t="n"/>
      <c r="I142" s="87" t="n"/>
      <c r="J142" s="87" t="inlineStr">
        <is>
          <t>Pendente</t>
        </is>
      </c>
      <c r="K142" s="60" t="n">
        <v>46085</v>
      </c>
      <c r="L142" s="87">
        <f>TEXT(A142,"mmmm")</f>
        <v/>
      </c>
      <c r="N142" s="87" t="n"/>
      <c r="O142" s="62" t="n"/>
      <c r="X142" s="87" t="n"/>
      <c r="Y142" s="87" t="n"/>
    </row>
    <row r="143" ht="15" customHeight="1" s="83">
      <c r="A143" s="60" t="n">
        <v>46076</v>
      </c>
      <c r="B143" s="60" t="n">
        <v>46079</v>
      </c>
      <c r="C143" s="60" t="n">
        <v>46082</v>
      </c>
      <c r="D143" s="87" t="inlineStr">
        <is>
          <t>OSIRIS AUGUSTO PASSARELLI DE MORAES</t>
        </is>
      </c>
      <c r="E143" s="87" t="inlineStr">
        <is>
          <t>Itaú</t>
        </is>
      </c>
      <c r="F143" s="87" t="inlineStr">
        <is>
          <t>Enzo</t>
        </is>
      </c>
      <c r="G143" s="87" t="inlineStr">
        <is>
          <t>M</t>
        </is>
      </c>
      <c r="H143" s="78" t="n"/>
      <c r="I143" s="87" t="n"/>
      <c r="J143" s="87" t="inlineStr">
        <is>
          <t>Pendente</t>
        </is>
      </c>
      <c r="K143" s="60" t="n">
        <v>46085</v>
      </c>
      <c r="L143" s="87">
        <f>TEXT(A143,"mmmm")</f>
        <v/>
      </c>
    </row>
    <row r="144" ht="15" customHeight="1" s="83">
      <c r="A144" s="60" t="n">
        <v>46076</v>
      </c>
      <c r="B144" s="60" t="n">
        <v>46079</v>
      </c>
      <c r="C144" s="60" t="n">
        <v>46082</v>
      </c>
      <c r="D144" s="87" t="inlineStr">
        <is>
          <t>PAMELA SILVA FERREIRA DE OLIVEIRA</t>
        </is>
      </c>
      <c r="E144" s="87" t="inlineStr">
        <is>
          <t>Azul</t>
        </is>
      </c>
      <c r="F144" s="87" t="inlineStr">
        <is>
          <t>Enzo</t>
        </is>
      </c>
      <c r="G144" s="87" t="inlineStr">
        <is>
          <t>M</t>
        </is>
      </c>
      <c r="H144" s="76" t="n"/>
      <c r="I144" s="87" t="n"/>
      <c r="J144" s="87" t="inlineStr">
        <is>
          <t>Pendente</t>
        </is>
      </c>
      <c r="K144" s="60" t="n">
        <v>46085</v>
      </c>
      <c r="L144" s="87">
        <f>TEXT(A144,"mmmm")</f>
        <v/>
      </c>
    </row>
    <row r="145" ht="15" customHeight="1" s="83">
      <c r="A145" s="60" t="n">
        <v>46077</v>
      </c>
      <c r="B145" s="60" t="n">
        <v>46080</v>
      </c>
      <c r="C145" s="60" t="n">
        <v>46083</v>
      </c>
      <c r="D145" s="87" t="inlineStr">
        <is>
          <t>FRANCICLEUDO ALVES CARNAUBA</t>
        </is>
      </c>
      <c r="E145" s="87" t="inlineStr">
        <is>
          <t>Azul</t>
        </is>
      </c>
      <c r="F145" s="87" t="inlineStr">
        <is>
          <t>John</t>
        </is>
      </c>
      <c r="G145" s="87" t="inlineStr">
        <is>
          <t>M</t>
        </is>
      </c>
      <c r="H145" s="78" t="n"/>
      <c r="I145" s="87" t="n"/>
      <c r="J145" s="87" t="inlineStr">
        <is>
          <t>Pendente</t>
        </is>
      </c>
      <c r="K145" s="60" t="n">
        <v>46086</v>
      </c>
      <c r="L145" s="87">
        <f>TEXT(A145,"mmmm")</f>
        <v/>
      </c>
    </row>
    <row r="146" ht="15" customHeight="1" s="83">
      <c r="A146" s="60" t="n">
        <v>46077</v>
      </c>
      <c r="B146" s="60" t="n">
        <v>46080</v>
      </c>
      <c r="C146" s="60" t="n">
        <v>46083</v>
      </c>
      <c r="D146" s="87" t="inlineStr">
        <is>
          <t>MAIKON MARTINS PEREIRA</t>
        </is>
      </c>
      <c r="E146" s="87" t="inlineStr">
        <is>
          <t>Azul</t>
        </is>
      </c>
      <c r="F146" s="87" t="inlineStr">
        <is>
          <t>Enzo</t>
        </is>
      </c>
      <c r="G146" s="87" t="inlineStr">
        <is>
          <t>M</t>
        </is>
      </c>
      <c r="H146" s="78" t="n"/>
      <c r="I146" s="87" t="n"/>
      <c r="J146" s="87" t="inlineStr">
        <is>
          <t>Pendente</t>
        </is>
      </c>
      <c r="K146" s="60" t="n">
        <v>46086</v>
      </c>
      <c r="L146" s="87">
        <f>TEXT(A146,"mmmm")</f>
        <v/>
      </c>
      <c r="N146" s="87" t="n"/>
    </row>
    <row r="147" ht="15" customHeight="1" s="83">
      <c r="A147" s="60" t="n">
        <v>46077</v>
      </c>
      <c r="B147" s="60" t="n">
        <v>46080</v>
      </c>
      <c r="C147" s="60" t="n">
        <v>46083</v>
      </c>
      <c r="D147" s="87" t="inlineStr">
        <is>
          <t>MARIA ELIANE MIRANDA</t>
        </is>
      </c>
      <c r="E147" s="87" t="inlineStr">
        <is>
          <t>Porto</t>
        </is>
      </c>
      <c r="F147" s="87" t="inlineStr">
        <is>
          <t>John</t>
        </is>
      </c>
      <c r="G147" s="87" t="inlineStr">
        <is>
          <t>M</t>
        </is>
      </c>
      <c r="H147" s="78" t="n"/>
      <c r="I147" s="87" t="n"/>
      <c r="J147" s="87" t="inlineStr">
        <is>
          <t>Pendente</t>
        </is>
      </c>
      <c r="K147" s="60" t="n">
        <v>46086</v>
      </c>
      <c r="L147" s="87">
        <f>TEXT(A147,"mmmm")</f>
        <v/>
      </c>
      <c r="N147" s="87" t="n"/>
      <c r="O147" s="62" t="n"/>
      <c r="X147" s="87" t="n"/>
      <c r="Y147" s="87" t="n"/>
    </row>
    <row r="148" ht="15" customHeight="1" s="83">
      <c r="A148" s="60" t="n">
        <v>46077</v>
      </c>
      <c r="B148" s="60" t="n">
        <v>46080</v>
      </c>
      <c r="C148" s="60" t="n">
        <v>46083</v>
      </c>
      <c r="D148" s="87" t="inlineStr">
        <is>
          <t>THIAGO MARTINS DE SOUSA</t>
        </is>
      </c>
      <c r="E148" s="87" t="inlineStr">
        <is>
          <t>Suhai</t>
        </is>
      </c>
      <c r="F148" s="87" t="inlineStr">
        <is>
          <t>John</t>
        </is>
      </c>
      <c r="G148" s="87" t="inlineStr">
        <is>
          <t>M</t>
        </is>
      </c>
      <c r="H148" s="78" t="n"/>
      <c r="I148" s="87" t="n"/>
      <c r="J148" s="87" t="inlineStr">
        <is>
          <t>Pendente</t>
        </is>
      </c>
      <c r="K148" s="60" t="n">
        <v>46086</v>
      </c>
      <c r="L148" s="87">
        <f>TEXT(A148,"mmmm")</f>
        <v/>
      </c>
    </row>
    <row r="149" ht="15" customHeight="1" s="83">
      <c r="A149" s="60" t="n">
        <v>46077</v>
      </c>
      <c r="B149" s="60" t="n">
        <v>46080</v>
      </c>
      <c r="C149" s="60" t="n">
        <v>46083</v>
      </c>
      <c r="D149" s="87" t="inlineStr">
        <is>
          <t>DAYANE ANDREA DA SILVA ALMEIDA</t>
        </is>
      </c>
      <c r="E149" s="87" t="inlineStr">
        <is>
          <t>Suhai</t>
        </is>
      </c>
      <c r="F149" s="87" t="inlineStr">
        <is>
          <t>Leticia</t>
        </is>
      </c>
      <c r="G149" s="87" t="inlineStr">
        <is>
          <t>F</t>
        </is>
      </c>
      <c r="H149" s="78" t="n"/>
      <c r="I149" s="87" t="n"/>
      <c r="J149" s="87" t="inlineStr">
        <is>
          <t>Pendente</t>
        </is>
      </c>
      <c r="K149" s="60" t="n">
        <v>46086</v>
      </c>
      <c r="L149" s="87">
        <f>TEXT(A149,"mmmm")</f>
        <v/>
      </c>
      <c r="N149" s="87" t="n"/>
      <c r="O149" s="62" t="n"/>
      <c r="X149" s="87" t="n"/>
      <c r="Y149" s="87" t="n"/>
    </row>
    <row r="150" ht="15" customHeight="1" s="83">
      <c r="A150" s="60" t="n">
        <v>46077</v>
      </c>
      <c r="B150" s="60" t="n">
        <v>46080</v>
      </c>
      <c r="C150" s="60" t="n">
        <v>46083</v>
      </c>
      <c r="D150" s="87" t="inlineStr">
        <is>
          <t>SUZANI FERREIRA SILVA SOUZA</t>
        </is>
      </c>
      <c r="E150" s="87" t="inlineStr">
        <is>
          <t>Suhai</t>
        </is>
      </c>
      <c r="F150" s="87" t="inlineStr">
        <is>
          <t>Leticia</t>
        </is>
      </c>
      <c r="G150" s="87" t="inlineStr">
        <is>
          <t>F</t>
        </is>
      </c>
      <c r="H150" s="78" t="n"/>
      <c r="I150" s="87" t="n"/>
      <c r="J150" s="87" t="inlineStr">
        <is>
          <t>Pendente</t>
        </is>
      </c>
      <c r="K150" s="60" t="n">
        <v>46086</v>
      </c>
      <c r="L150" s="87">
        <f>TEXT(A150,"mmmm")</f>
        <v/>
      </c>
      <c r="N150" s="87" t="n"/>
      <c r="O150" s="62" t="n"/>
      <c r="X150" s="87" t="n"/>
      <c r="Y150" s="87" t="n"/>
    </row>
    <row r="151" ht="15" customHeight="1" s="83">
      <c r="A151" s="60" t="n">
        <v>46077</v>
      </c>
      <c r="B151" s="60" t="n">
        <v>46080</v>
      </c>
      <c r="C151" s="60" t="n">
        <v>46083</v>
      </c>
      <c r="D151" s="87" t="inlineStr">
        <is>
          <t>LUCAS BRANDAO MORAIS</t>
        </is>
      </c>
      <c r="E151" s="87" t="inlineStr">
        <is>
          <t>Azul</t>
        </is>
      </c>
      <c r="F151" s="87" t="inlineStr">
        <is>
          <t>John</t>
        </is>
      </c>
      <c r="G151" s="87" t="inlineStr">
        <is>
          <t>M</t>
        </is>
      </c>
      <c r="H151" s="78" t="n"/>
      <c r="I151" s="87" t="n"/>
      <c r="J151" s="87" t="inlineStr">
        <is>
          <t>Pendente</t>
        </is>
      </c>
      <c r="K151" s="60" t="n">
        <v>46086</v>
      </c>
      <c r="L151" s="87">
        <f>TEXT(A151,"mmmm")</f>
        <v/>
      </c>
      <c r="N151" s="87" t="n"/>
      <c r="O151" s="62" t="n"/>
      <c r="X151" s="87" t="n"/>
      <c r="Y151" s="87" t="n"/>
    </row>
    <row r="152" ht="15" customHeight="1" s="83">
      <c r="A152" s="60" t="n">
        <v>46077</v>
      </c>
      <c r="B152" s="60" t="n">
        <v>46080</v>
      </c>
      <c r="C152" s="60" t="n">
        <v>46083</v>
      </c>
      <c r="D152" s="87" t="inlineStr">
        <is>
          <t>WILLIANS BEZERRA DE SOUSA</t>
        </is>
      </c>
      <c r="E152" s="87" t="inlineStr">
        <is>
          <t>Tokio</t>
        </is>
      </c>
      <c r="F152" s="87" t="inlineStr">
        <is>
          <t>Isabella</t>
        </is>
      </c>
      <c r="G152" s="87" t="inlineStr">
        <is>
          <t>F</t>
        </is>
      </c>
      <c r="H152" s="78" t="n"/>
      <c r="I152" s="87" t="n"/>
      <c r="J152" s="87" t="inlineStr">
        <is>
          <t>Pendente</t>
        </is>
      </c>
      <c r="K152" s="60" t="n">
        <v>46086</v>
      </c>
      <c r="L152" s="87">
        <f>TEXT(A152,"mmmm")</f>
        <v/>
      </c>
      <c r="N152" s="87" t="n"/>
      <c r="O152" s="62" t="n"/>
      <c r="X152" s="87" t="n"/>
      <c r="Y152" s="87" t="n"/>
    </row>
    <row r="153" ht="15" customHeight="1" s="83">
      <c r="A153" s="60" t="n">
        <v>46080</v>
      </c>
      <c r="B153" s="60" t="n">
        <v>46083</v>
      </c>
      <c r="C153" s="60" t="n">
        <v>46086</v>
      </c>
      <c r="D153" s="87" t="inlineStr">
        <is>
          <t>JOSE ADAO MARTINS CARDOSO</t>
        </is>
      </c>
      <c r="E153" s="87" t="inlineStr">
        <is>
          <t>Tokio</t>
        </is>
      </c>
      <c r="F153" s="87" t="inlineStr">
        <is>
          <t>Isabella</t>
        </is>
      </c>
      <c r="G153" s="87" t="inlineStr">
        <is>
          <t>F</t>
        </is>
      </c>
      <c r="H153" s="78" t="n"/>
      <c r="I153" s="87" t="n"/>
      <c r="J153" s="87" t="inlineStr">
        <is>
          <t>Pendente</t>
        </is>
      </c>
      <c r="K153" s="60" t="n">
        <v>46089</v>
      </c>
      <c r="L153" s="87">
        <f>TEXT(A153,"mmmm")</f>
        <v/>
      </c>
      <c r="N153" s="87" t="n"/>
      <c r="O153" s="62" t="n"/>
      <c r="X153" s="87" t="n"/>
      <c r="Y153" s="87" t="n"/>
    </row>
    <row r="154" ht="15" customHeight="1" s="83">
      <c r="A154" s="60" t="n">
        <v>46077</v>
      </c>
      <c r="B154" s="60" t="n">
        <v>46080</v>
      </c>
      <c r="C154" s="60" t="n">
        <v>46083</v>
      </c>
      <c r="D154" s="87" t="inlineStr">
        <is>
          <t>IRONILDO BATISTA DE CARVALHO</t>
        </is>
      </c>
      <c r="E154" s="87" t="inlineStr">
        <is>
          <t>Tokio</t>
        </is>
      </c>
      <c r="F154" s="87" t="inlineStr">
        <is>
          <t>Isabella</t>
        </is>
      </c>
      <c r="G154" s="87" t="inlineStr">
        <is>
          <t>F</t>
        </is>
      </c>
      <c r="H154" s="78" t="n"/>
      <c r="I154" s="87" t="n"/>
      <c r="J154" s="87" t="inlineStr">
        <is>
          <t>Pendente</t>
        </is>
      </c>
      <c r="K154" s="60" t="n">
        <v>46086</v>
      </c>
      <c r="L154" s="87">
        <f>TEXT(A154,"mmmm")</f>
        <v/>
      </c>
      <c r="N154" s="87" t="n"/>
      <c r="O154" s="62" t="n"/>
      <c r="X154" s="87" t="n"/>
      <c r="Y154" s="87" t="n"/>
    </row>
    <row r="155" ht="15" customHeight="1" s="83">
      <c r="A155" s="60" t="n">
        <v>46077</v>
      </c>
      <c r="B155" s="60" t="n">
        <v>46080</v>
      </c>
      <c r="C155" s="60" t="n">
        <v>46083</v>
      </c>
      <c r="D155" s="87" t="inlineStr">
        <is>
          <t>ALCIONE SILVA DOS SANTOS</t>
        </is>
      </c>
      <c r="E155" s="87" t="inlineStr">
        <is>
          <t>Tokio</t>
        </is>
      </c>
      <c r="F155" s="87" t="inlineStr">
        <is>
          <t>Isabella</t>
        </is>
      </c>
      <c r="G155" s="87" t="inlineStr">
        <is>
          <t>F</t>
        </is>
      </c>
      <c r="H155" s="78" t="n"/>
      <c r="I155" s="87" t="n"/>
      <c r="J155" s="87" t="inlineStr">
        <is>
          <t>Pendente</t>
        </is>
      </c>
      <c r="K155" s="60" t="n">
        <v>46086</v>
      </c>
      <c r="L155" s="87">
        <f>TEXT(A155,"mmmm")</f>
        <v/>
      </c>
      <c r="N155" s="87" t="n"/>
      <c r="O155" s="62" t="n"/>
      <c r="X155" s="87" t="n"/>
      <c r="Y155" s="87" t="n"/>
    </row>
    <row r="156" ht="15" customHeight="1" s="83">
      <c r="A156" s="60" t="n">
        <v>46077</v>
      </c>
      <c r="B156" s="60" t="n">
        <v>46080</v>
      </c>
      <c r="C156" s="60" t="n">
        <v>46083</v>
      </c>
      <c r="D156" s="87" t="inlineStr">
        <is>
          <t>THAIS CRISTINA DA SILVA PEREIRA</t>
        </is>
      </c>
      <c r="E156" s="87" t="inlineStr">
        <is>
          <t>Suhai</t>
        </is>
      </c>
      <c r="F156" s="87" t="inlineStr">
        <is>
          <t>Isabella</t>
        </is>
      </c>
      <c r="G156" s="87" t="inlineStr">
        <is>
          <t>F</t>
        </is>
      </c>
      <c r="H156" s="78" t="n"/>
      <c r="I156" s="87" t="n"/>
      <c r="J156" s="87" t="inlineStr">
        <is>
          <t>Pendente</t>
        </is>
      </c>
      <c r="K156" s="60" t="n">
        <v>46086</v>
      </c>
      <c r="L156" s="87">
        <f>TEXT(A156,"mmmm")</f>
        <v/>
      </c>
      <c r="N156" s="87" t="n"/>
      <c r="O156" s="62" t="n"/>
      <c r="X156" s="87" t="n"/>
      <c r="Y156" s="87" t="n"/>
    </row>
    <row r="157" ht="15" customHeight="1" s="83">
      <c r="A157" s="60" t="n">
        <v>46077</v>
      </c>
      <c r="B157" s="60" t="n">
        <v>46080</v>
      </c>
      <c r="C157" s="60" t="n">
        <v>46083</v>
      </c>
      <c r="D157" s="87" t="inlineStr">
        <is>
          <t>EDSON VIEIRA DE ALMEIDA</t>
        </is>
      </c>
      <c r="E157" s="87" t="inlineStr">
        <is>
          <t>Porto</t>
        </is>
      </c>
      <c r="F157" s="87" t="inlineStr">
        <is>
          <t>Isabella</t>
        </is>
      </c>
      <c r="G157" s="87" t="inlineStr">
        <is>
          <t>F</t>
        </is>
      </c>
      <c r="H157" s="78" t="n"/>
      <c r="I157" s="87" t="n"/>
      <c r="J157" s="87" t="inlineStr">
        <is>
          <t>Pendente</t>
        </is>
      </c>
      <c r="K157" s="60" t="n">
        <v>46086</v>
      </c>
      <c r="L157" s="87">
        <f>TEXT(A157,"mmmm")</f>
        <v/>
      </c>
      <c r="N157" s="87" t="n"/>
      <c r="O157" s="62" t="n"/>
      <c r="X157" s="87" t="n"/>
      <c r="Y157" s="87" t="n"/>
    </row>
    <row r="158" ht="15" customHeight="1" s="83">
      <c r="A158" s="60" t="n">
        <v>46078</v>
      </c>
      <c r="B158" s="60" t="n">
        <v>46081</v>
      </c>
      <c r="C158" s="60" t="n">
        <v>46084</v>
      </c>
      <c r="D158" s="87" t="inlineStr">
        <is>
          <t>JESSICA APARECIDA DE LIMA COSTA</t>
        </is>
      </c>
      <c r="E158" s="87" t="inlineStr">
        <is>
          <t>Azul</t>
        </is>
      </c>
      <c r="F158" s="87" t="inlineStr">
        <is>
          <t>Leticia</t>
        </is>
      </c>
      <c r="G158" s="87" t="inlineStr">
        <is>
          <t>F</t>
        </is>
      </c>
      <c r="H158" s="78" t="n"/>
      <c r="I158" s="87" t="n"/>
      <c r="J158" s="87" t="inlineStr">
        <is>
          <t>Pendente</t>
        </is>
      </c>
      <c r="K158" s="60" t="n">
        <v>46087</v>
      </c>
      <c r="L158" s="87">
        <f>TEXT(A158,"mmmm")</f>
        <v/>
      </c>
      <c r="N158" s="87" t="n"/>
      <c r="O158" s="62" t="n"/>
      <c r="X158" s="87" t="n"/>
      <c r="Y158" s="87" t="n"/>
    </row>
    <row r="159" ht="15" customHeight="1" s="83">
      <c r="A159" s="60" t="n">
        <v>46078</v>
      </c>
      <c r="B159" s="60" t="n">
        <v>46081</v>
      </c>
      <c r="C159" s="60" t="n">
        <v>46084</v>
      </c>
      <c r="D159" s="87" t="inlineStr">
        <is>
          <t>MILER FERREIRA RODRIGUES</t>
        </is>
      </c>
      <c r="E159" s="87" t="inlineStr">
        <is>
          <t>Tokio</t>
        </is>
      </c>
      <c r="F159" s="87" t="inlineStr">
        <is>
          <t>Jacqueline</t>
        </is>
      </c>
      <c r="G159" s="87" t="inlineStr">
        <is>
          <t>F</t>
        </is>
      </c>
      <c r="H159" s="78" t="n"/>
      <c r="I159" s="87" t="n"/>
      <c r="J159" s="87" t="inlineStr">
        <is>
          <t>Pendente</t>
        </is>
      </c>
      <c r="K159" s="60" t="n">
        <v>46087</v>
      </c>
      <c r="L159" s="87">
        <f>TEXT(A159,"mmmm")</f>
        <v/>
      </c>
      <c r="N159" s="87" t="n"/>
      <c r="O159" s="62" t="n"/>
      <c r="X159" s="87" t="n"/>
      <c r="Y159" s="87" t="n"/>
    </row>
    <row r="160" ht="15" customHeight="1" s="83">
      <c r="A160" s="60" t="n">
        <v>46078</v>
      </c>
      <c r="B160" s="60" t="n">
        <v>46081</v>
      </c>
      <c r="C160" s="60" t="n">
        <v>46084</v>
      </c>
      <c r="D160" s="87" t="inlineStr">
        <is>
          <t>RODRIGO ALMEIDA SILVA</t>
        </is>
      </c>
      <c r="E160" s="87" t="inlineStr">
        <is>
          <t>Azul</t>
        </is>
      </c>
      <c r="F160" s="87" t="inlineStr">
        <is>
          <t>Jacqueline</t>
        </is>
      </c>
      <c r="G160" s="87" t="inlineStr">
        <is>
          <t>F</t>
        </is>
      </c>
      <c r="H160" s="78" t="n"/>
      <c r="I160" s="87" t="n"/>
      <c r="J160" s="87" t="inlineStr">
        <is>
          <t>Pendente</t>
        </is>
      </c>
      <c r="K160" s="60" t="n">
        <v>46087</v>
      </c>
      <c r="L160" s="87">
        <f>TEXT(A160,"mmmm")</f>
        <v/>
      </c>
      <c r="N160" s="87" t="n"/>
      <c r="O160" s="62" t="n"/>
      <c r="X160" s="87" t="n"/>
      <c r="Y160" s="87" t="n"/>
    </row>
    <row r="161" ht="15" customHeight="1" s="83">
      <c r="A161" s="60" t="n">
        <v>46078</v>
      </c>
      <c r="B161" s="60" t="n">
        <v>46081</v>
      </c>
      <c r="C161" s="60" t="n">
        <v>46084</v>
      </c>
      <c r="D161" s="87" t="inlineStr">
        <is>
          <t>THIAGO APARECIDO AFONSO DE CARVALHO</t>
        </is>
      </c>
      <c r="E161" s="87" t="inlineStr">
        <is>
          <t>Suhai</t>
        </is>
      </c>
      <c r="F161" s="87" t="inlineStr">
        <is>
          <t>John</t>
        </is>
      </c>
      <c r="G161" s="87" t="inlineStr">
        <is>
          <t>M</t>
        </is>
      </c>
      <c r="H161" s="78" t="n"/>
      <c r="I161" s="87" t="n"/>
      <c r="J161" s="87" t="inlineStr">
        <is>
          <t>Pendente</t>
        </is>
      </c>
      <c r="K161" s="60" t="n">
        <v>46087</v>
      </c>
      <c r="L161" s="87">
        <f>TEXT(A161,"mmmm")</f>
        <v/>
      </c>
      <c r="N161" s="87" t="n"/>
      <c r="O161" s="62" t="n"/>
      <c r="X161" s="87" t="n"/>
      <c r="Y161" s="87" t="n"/>
    </row>
    <row r="162" ht="15" customHeight="1" s="83">
      <c r="A162" s="60" t="n">
        <v>46078</v>
      </c>
      <c r="B162" s="60" t="n">
        <v>46081</v>
      </c>
      <c r="C162" s="60" t="n">
        <v>46084</v>
      </c>
      <c r="D162" s="87" t="inlineStr">
        <is>
          <t>TATIANA ARINI ZARAGOZA</t>
        </is>
      </c>
      <c r="E162" s="87" t="inlineStr">
        <is>
          <t>Porto</t>
        </is>
      </c>
      <c r="F162" s="87" t="inlineStr">
        <is>
          <t>Pamela</t>
        </is>
      </c>
      <c r="G162" s="87" t="inlineStr">
        <is>
          <t>M</t>
        </is>
      </c>
      <c r="H162" s="78" t="n"/>
      <c r="I162" s="87" t="n"/>
      <c r="J162" s="87" t="inlineStr">
        <is>
          <t>Pendente</t>
        </is>
      </c>
      <c r="K162" s="60" t="n">
        <v>46087</v>
      </c>
      <c r="L162" s="87">
        <f>TEXT(A162,"mmmm")</f>
        <v/>
      </c>
      <c r="N162" s="87" t="n"/>
      <c r="O162" s="62" t="n"/>
      <c r="X162" s="87" t="n"/>
      <c r="Y162" s="87" t="n"/>
    </row>
    <row r="163" ht="15" customHeight="1" s="83">
      <c r="A163" s="60" t="n">
        <v>46078</v>
      </c>
      <c r="B163" s="60" t="n">
        <v>46081</v>
      </c>
      <c r="C163" s="60" t="n">
        <v>46084</v>
      </c>
      <c r="D163" s="87" t="inlineStr">
        <is>
          <t>REGINA DA COSTA SALVI</t>
        </is>
      </c>
      <c r="E163" s="87" t="inlineStr">
        <is>
          <t>Azul</t>
        </is>
      </c>
      <c r="F163" s="87" t="inlineStr">
        <is>
          <t>John</t>
        </is>
      </c>
      <c r="G163" s="87" t="inlineStr">
        <is>
          <t>M</t>
        </is>
      </c>
      <c r="H163" s="78" t="n"/>
      <c r="I163" s="87" t="n"/>
      <c r="J163" s="87" t="inlineStr">
        <is>
          <t>Pendente</t>
        </is>
      </c>
      <c r="K163" s="60" t="n">
        <v>46087</v>
      </c>
      <c r="L163" s="87">
        <f>TEXT(A163,"mmmm")</f>
        <v/>
      </c>
      <c r="N163" s="87" t="n"/>
      <c r="O163" s="62" t="n"/>
      <c r="X163" s="87" t="n"/>
      <c r="Y163" s="87" t="n"/>
    </row>
    <row r="164" ht="15" customHeight="1" s="83">
      <c r="A164" s="60" t="n">
        <v>46078</v>
      </c>
      <c r="B164" s="60" t="n">
        <v>46081</v>
      </c>
      <c r="C164" s="60" t="n">
        <v>46084</v>
      </c>
      <c r="D164" s="87" t="inlineStr">
        <is>
          <t>KAWAN SANTOS DE JESUS</t>
        </is>
      </c>
      <c r="E164" s="87" t="inlineStr">
        <is>
          <t>Suhai</t>
        </is>
      </c>
      <c r="F164" s="87" t="inlineStr">
        <is>
          <t>Isabella</t>
        </is>
      </c>
      <c r="G164" s="87" t="inlineStr">
        <is>
          <t>F</t>
        </is>
      </c>
      <c r="H164" s="78" t="n"/>
      <c r="I164" s="87" t="n"/>
      <c r="J164" s="87" t="inlineStr">
        <is>
          <t>Pendente</t>
        </is>
      </c>
      <c r="K164" s="60" t="n">
        <v>46087</v>
      </c>
      <c r="L164" s="87">
        <f>TEXT(A164,"mmmm")</f>
        <v/>
      </c>
      <c r="N164" s="87" t="n"/>
      <c r="O164" s="62" t="n"/>
      <c r="X164" s="87" t="n"/>
      <c r="Y164" s="87" t="n"/>
    </row>
    <row r="165" ht="15" customHeight="1" s="83">
      <c r="A165" s="60" t="n">
        <v>46078</v>
      </c>
      <c r="B165" s="60" t="n">
        <v>46081</v>
      </c>
      <c r="C165" s="60" t="n">
        <v>46084</v>
      </c>
      <c r="D165" s="87" t="inlineStr">
        <is>
          <t>FELIPE SILVERIO MONTANHOLI DE ARAUJO</t>
        </is>
      </c>
      <c r="E165" s="87" t="inlineStr">
        <is>
          <t>Suhai</t>
        </is>
      </c>
      <c r="F165" s="87" t="inlineStr">
        <is>
          <t>Isabella</t>
        </is>
      </c>
      <c r="G165" s="87" t="inlineStr">
        <is>
          <t>F</t>
        </is>
      </c>
      <c r="H165" s="78" t="n"/>
      <c r="I165" s="87" t="n"/>
      <c r="J165" s="87" t="inlineStr">
        <is>
          <t>Pendente</t>
        </is>
      </c>
      <c r="K165" s="60" t="n">
        <v>46087</v>
      </c>
      <c r="L165" s="87">
        <f>TEXT(A165,"mmmm")</f>
        <v/>
      </c>
      <c r="N165" s="87" t="n"/>
      <c r="O165" s="62" t="n"/>
      <c r="X165" s="87" t="n"/>
      <c r="Y165" s="87" t="n"/>
    </row>
    <row r="166" ht="15" customHeight="1" s="83">
      <c r="A166" s="60" t="n">
        <v>46078</v>
      </c>
      <c r="B166" s="60" t="n">
        <v>46081</v>
      </c>
      <c r="C166" s="60" t="n">
        <v>46084</v>
      </c>
      <c r="D166" s="87" t="inlineStr">
        <is>
          <t>MARIA INES PEREIRA DE SOUZA</t>
        </is>
      </c>
      <c r="E166" s="87" t="inlineStr">
        <is>
          <t>Azul</t>
        </is>
      </c>
      <c r="F166" s="87" t="inlineStr">
        <is>
          <t>Enzo</t>
        </is>
      </c>
      <c r="G166" s="87" t="inlineStr">
        <is>
          <t>M</t>
        </is>
      </c>
      <c r="H166" s="78" t="n"/>
      <c r="I166" s="87" t="n"/>
      <c r="J166" s="87" t="inlineStr">
        <is>
          <t>Pendente</t>
        </is>
      </c>
      <c r="K166" s="60" t="n">
        <v>46087</v>
      </c>
      <c r="L166" s="87">
        <f>TEXT(A166,"mmmm")</f>
        <v/>
      </c>
      <c r="N166" s="87" t="n"/>
      <c r="O166" s="62" t="n"/>
      <c r="X166" s="87" t="n"/>
      <c r="Y166" s="87" t="n"/>
    </row>
    <row r="167" ht="15" customHeight="1" s="83">
      <c r="A167" s="60" t="n">
        <v>46078</v>
      </c>
      <c r="B167" s="60" t="n">
        <v>46081</v>
      </c>
      <c r="C167" s="60" t="n">
        <v>46084</v>
      </c>
      <c r="D167" s="87" t="inlineStr">
        <is>
          <t>DIEGO HENRIQUE DA SILVA ALVES</t>
        </is>
      </c>
      <c r="E167" s="87" t="inlineStr">
        <is>
          <t>Zurich</t>
        </is>
      </c>
      <c r="F167" s="87" t="inlineStr">
        <is>
          <t>Jacqueline</t>
        </is>
      </c>
      <c r="G167" s="87" t="inlineStr">
        <is>
          <t>F</t>
        </is>
      </c>
      <c r="H167" s="78" t="n"/>
      <c r="I167" s="87" t="n"/>
      <c r="J167" s="87" t="inlineStr">
        <is>
          <t>Pendente</t>
        </is>
      </c>
      <c r="K167" s="60" t="n">
        <v>46087</v>
      </c>
      <c r="L167" s="87">
        <f>TEXT(A167,"mmmm")</f>
        <v/>
      </c>
      <c r="N167" s="87" t="n"/>
      <c r="O167" s="62" t="n"/>
      <c r="X167" s="87" t="n"/>
      <c r="Y167" s="87" t="n"/>
    </row>
    <row r="168" ht="15" customHeight="1" s="83">
      <c r="A168" s="60" t="n">
        <v>46078</v>
      </c>
      <c r="B168" s="60" t="n">
        <v>46081</v>
      </c>
      <c r="C168" s="60" t="n">
        <v>46084</v>
      </c>
      <c r="D168" s="87" t="inlineStr">
        <is>
          <t>PAULO HENRIQUE VITORINO</t>
        </is>
      </c>
      <c r="E168" s="87" t="inlineStr">
        <is>
          <t>Mapfre</t>
        </is>
      </c>
      <c r="F168" s="87" t="inlineStr">
        <is>
          <t>Isabella</t>
        </is>
      </c>
      <c r="G168" s="87" t="inlineStr">
        <is>
          <t>F</t>
        </is>
      </c>
      <c r="H168" s="78" t="n"/>
      <c r="I168" s="87" t="n"/>
      <c r="J168" s="87" t="inlineStr">
        <is>
          <t>Pendente</t>
        </is>
      </c>
      <c r="K168" s="60" t="n">
        <v>46087</v>
      </c>
      <c r="L168" s="87">
        <f>TEXT(A168,"mmmm")</f>
        <v/>
      </c>
      <c r="N168" s="87" t="n"/>
      <c r="O168" s="62" t="n"/>
      <c r="X168" s="87" t="n"/>
      <c r="Y168" s="87" t="n"/>
    </row>
    <row r="169" ht="15" customHeight="1" s="83">
      <c r="A169" s="60" t="n">
        <v>46079</v>
      </c>
      <c r="B169" s="60" t="n">
        <v>46082</v>
      </c>
      <c r="C169" s="60" t="n">
        <v>46085</v>
      </c>
      <c r="D169" s="87" t="inlineStr">
        <is>
          <t>DARIO DE SOUSA CAMPOS</t>
        </is>
      </c>
      <c r="E169" s="87" t="inlineStr">
        <is>
          <t>Tokio</t>
        </is>
      </c>
      <c r="F169" s="87" t="inlineStr">
        <is>
          <t>Leticia</t>
        </is>
      </c>
      <c r="G169" s="87" t="inlineStr">
        <is>
          <t>F</t>
        </is>
      </c>
      <c r="H169" s="78" t="n"/>
      <c r="I169" s="87" t="n"/>
      <c r="J169" s="87" t="inlineStr">
        <is>
          <t>Pendente</t>
        </is>
      </c>
      <c r="K169" s="60" t="n">
        <v>46088</v>
      </c>
      <c r="L169" s="87">
        <f>TEXT(A169,"mmmm")</f>
        <v/>
      </c>
      <c r="N169" s="87" t="n"/>
      <c r="O169" s="62" t="n"/>
      <c r="X169" s="87" t="n"/>
      <c r="Y169" s="87" t="n"/>
    </row>
    <row r="170" ht="15" customHeight="1" s="83">
      <c r="A170" s="60" t="n">
        <v>46079</v>
      </c>
      <c r="B170" s="60" t="n">
        <v>46082</v>
      </c>
      <c r="C170" s="60" t="n">
        <v>46085</v>
      </c>
      <c r="D170" s="87" t="inlineStr">
        <is>
          <t>PATRICIA SILVA DE BRITO</t>
        </is>
      </c>
      <c r="E170" s="87" t="inlineStr">
        <is>
          <t>Azul</t>
        </is>
      </c>
      <c r="F170" s="87" t="inlineStr">
        <is>
          <t>Enzo</t>
        </is>
      </c>
      <c r="G170" s="87" t="inlineStr">
        <is>
          <t>M</t>
        </is>
      </c>
      <c r="H170" s="78" t="n"/>
      <c r="I170" s="87" t="n"/>
      <c r="J170" s="87" t="inlineStr">
        <is>
          <t>Pendente</t>
        </is>
      </c>
      <c r="K170" s="60" t="n">
        <v>46088</v>
      </c>
      <c r="L170" s="87">
        <f>TEXT(A170,"mmmm")</f>
        <v/>
      </c>
      <c r="N170" s="87" t="n"/>
      <c r="O170" s="62" t="n"/>
      <c r="X170" s="87" t="n"/>
      <c r="Y170" s="87" t="n"/>
    </row>
    <row r="171" ht="15" customHeight="1" s="83">
      <c r="A171" s="60" t="n">
        <v>46079</v>
      </c>
      <c r="B171" s="60" t="n">
        <v>46082</v>
      </c>
      <c r="C171" s="60" t="n">
        <v>46085</v>
      </c>
      <c r="D171" s="87" t="inlineStr">
        <is>
          <t>JOSE ROBERTO AZEVEDO DE JESUS</t>
        </is>
      </c>
      <c r="E171" s="87" t="inlineStr">
        <is>
          <t>Allianz</t>
        </is>
      </c>
      <c r="F171" s="87" t="inlineStr">
        <is>
          <t>John</t>
        </is>
      </c>
      <c r="G171" s="87" t="inlineStr">
        <is>
          <t>M</t>
        </is>
      </c>
      <c r="H171" s="78" t="n"/>
      <c r="I171" s="87" t="n"/>
      <c r="J171" s="87" t="inlineStr">
        <is>
          <t>Pendente</t>
        </is>
      </c>
      <c r="K171" s="60" t="n">
        <v>46088</v>
      </c>
      <c r="L171" s="87">
        <f>TEXT(A171,"mmmm")</f>
        <v/>
      </c>
      <c r="N171" s="87" t="n"/>
      <c r="O171" s="62" t="n"/>
      <c r="X171" s="87" t="n"/>
      <c r="Y171" s="87" t="n"/>
    </row>
    <row r="172" ht="15" customHeight="1" s="83">
      <c r="A172" s="60" t="n">
        <v>46079</v>
      </c>
      <c r="B172" s="60" t="n">
        <v>46082</v>
      </c>
      <c r="C172" s="60" t="n">
        <v>46085</v>
      </c>
      <c r="D172" s="87" t="inlineStr">
        <is>
          <t>MANOEL ANTONIO COUTINHO NETO</t>
        </is>
      </c>
      <c r="E172" s="87" t="inlineStr">
        <is>
          <t>Aliro</t>
        </is>
      </c>
      <c r="F172" s="87" t="inlineStr">
        <is>
          <t>Leticia</t>
        </is>
      </c>
      <c r="G172" s="87" t="inlineStr">
        <is>
          <t>F</t>
        </is>
      </c>
      <c r="H172" s="78" t="n"/>
      <c r="I172" s="87" t="n"/>
      <c r="J172" s="87" t="inlineStr">
        <is>
          <t>Pendente</t>
        </is>
      </c>
      <c r="K172" s="60" t="n">
        <v>46088</v>
      </c>
      <c r="L172" s="87">
        <f>TEXT(A172,"mmmm")</f>
        <v/>
      </c>
      <c r="N172" s="87" t="n"/>
      <c r="O172" s="62" t="n"/>
      <c r="X172" s="87" t="n"/>
      <c r="Y172" s="87" t="n"/>
    </row>
    <row r="173" ht="15" customHeight="1" s="83">
      <c r="A173" s="60" t="n">
        <v>46079</v>
      </c>
      <c r="B173" s="60" t="n">
        <v>46082</v>
      </c>
      <c r="C173" s="60" t="n">
        <v>46085</v>
      </c>
      <c r="D173" s="87" t="inlineStr">
        <is>
          <t>THALITA OLIVEIRA DOS SANTOS</t>
        </is>
      </c>
      <c r="E173" s="87" t="inlineStr">
        <is>
          <t>Tokio</t>
        </is>
      </c>
      <c r="F173" s="87" t="inlineStr">
        <is>
          <t>John</t>
        </is>
      </c>
      <c r="G173" s="87" t="inlineStr">
        <is>
          <t>M</t>
        </is>
      </c>
      <c r="H173" s="78" t="n"/>
      <c r="I173" s="87" t="n"/>
      <c r="J173" s="87" t="inlineStr">
        <is>
          <t>Pendente</t>
        </is>
      </c>
      <c r="K173" s="60" t="n">
        <v>46088</v>
      </c>
      <c r="L173" s="87">
        <f>TEXT(A173,"mmmm")</f>
        <v/>
      </c>
    </row>
    <row r="174" ht="15" customHeight="1" s="83">
      <c r="A174" s="60" t="n">
        <v>46079</v>
      </c>
      <c r="B174" s="60" t="n">
        <v>46082</v>
      </c>
      <c r="C174" s="60" t="n">
        <v>46085</v>
      </c>
      <c r="D174" s="87" t="inlineStr">
        <is>
          <t>THALITA OLIVEIRA DOS SANTOS</t>
        </is>
      </c>
      <c r="E174" s="87" t="inlineStr">
        <is>
          <t>Suhai</t>
        </is>
      </c>
      <c r="F174" s="87" t="inlineStr">
        <is>
          <t>John</t>
        </is>
      </c>
      <c r="G174" s="87" t="inlineStr">
        <is>
          <t>M</t>
        </is>
      </c>
      <c r="H174" s="78" t="n"/>
      <c r="I174" s="87" t="n"/>
      <c r="J174" s="87" t="inlineStr">
        <is>
          <t>Pendente</t>
        </is>
      </c>
      <c r="K174" s="60" t="n">
        <v>46088</v>
      </c>
      <c r="L174" s="87">
        <f>TEXT(A174,"mmmm")</f>
        <v/>
      </c>
    </row>
    <row r="175" ht="15" customHeight="1" s="83">
      <c r="A175" s="60" t="n">
        <v>46079</v>
      </c>
      <c r="B175" s="60" t="n">
        <v>46082</v>
      </c>
      <c r="C175" s="60" t="n">
        <v>46085</v>
      </c>
      <c r="D175" s="87" t="inlineStr">
        <is>
          <t>BEATRIZ RODRIGUES DA SILVA</t>
        </is>
      </c>
      <c r="E175" s="87" t="inlineStr">
        <is>
          <t>Tokio</t>
        </is>
      </c>
      <c r="F175" s="87" t="inlineStr">
        <is>
          <t>Myrelle</t>
        </is>
      </c>
      <c r="G175" s="87" t="inlineStr">
        <is>
          <t>F</t>
        </is>
      </c>
      <c r="H175" s="78" t="n"/>
      <c r="I175" s="87" t="n"/>
      <c r="J175" s="87" t="inlineStr">
        <is>
          <t>Pendente</t>
        </is>
      </c>
      <c r="K175" s="60" t="n">
        <v>46088</v>
      </c>
      <c r="L175" s="87">
        <f>TEXT(A175,"mmmm")</f>
        <v/>
      </c>
    </row>
    <row r="176" ht="15" customHeight="1" s="83">
      <c r="A176" s="60" t="n">
        <v>46079</v>
      </c>
      <c r="B176" s="60" t="n">
        <v>46082</v>
      </c>
      <c r="C176" s="60" t="n">
        <v>46085</v>
      </c>
      <c r="D176" s="87" t="inlineStr">
        <is>
          <t>MAURICIO GOBET UZUN</t>
        </is>
      </c>
      <c r="E176" s="87" t="inlineStr">
        <is>
          <t>Mapfre</t>
        </is>
      </c>
      <c r="F176" s="87" t="inlineStr">
        <is>
          <t>John</t>
        </is>
      </c>
      <c r="G176" s="87" t="inlineStr">
        <is>
          <t>M</t>
        </is>
      </c>
      <c r="H176" s="78" t="n"/>
      <c r="I176" s="87" t="n"/>
      <c r="J176" s="87" t="inlineStr">
        <is>
          <t>Pendente</t>
        </is>
      </c>
      <c r="K176" s="60" t="n">
        <v>46088</v>
      </c>
      <c r="L176" s="87">
        <f>TEXT(A176,"mmmm")</f>
        <v/>
      </c>
    </row>
    <row r="177" ht="15" customHeight="1" s="83">
      <c r="A177" s="60" t="n">
        <v>46080</v>
      </c>
      <c r="B177" s="60" t="n">
        <v>46083</v>
      </c>
      <c r="C177" s="60" t="n">
        <v>46086</v>
      </c>
      <c r="D177" s="87" t="inlineStr">
        <is>
          <t>ANTONIO JOSE ALVES DE SOUZA</t>
        </is>
      </c>
      <c r="E177" s="87" t="inlineStr">
        <is>
          <t>Mapfre</t>
        </is>
      </c>
      <c r="F177" s="87" t="inlineStr">
        <is>
          <t>Isabella</t>
        </is>
      </c>
      <c r="G177" s="87" t="inlineStr">
        <is>
          <t>F</t>
        </is>
      </c>
      <c r="H177" s="78" t="n"/>
      <c r="I177" s="87" t="n"/>
      <c r="J177" s="87" t="inlineStr">
        <is>
          <t>Pendente</t>
        </is>
      </c>
      <c r="K177" s="60" t="n">
        <v>46089</v>
      </c>
      <c r="L177" s="87">
        <f>TEXT(A177,"mmmm")</f>
        <v/>
      </c>
    </row>
    <row r="178" ht="15" customHeight="1" s="83">
      <c r="A178" s="60" t="n">
        <v>46080</v>
      </c>
      <c r="B178" s="60" t="n">
        <v>46083</v>
      </c>
      <c r="C178" s="60" t="n">
        <v>46086</v>
      </c>
      <c r="D178" s="87" t="inlineStr">
        <is>
          <t>JURANDIR ALVES MARTINS</t>
        </is>
      </c>
      <c r="E178" s="87" t="inlineStr">
        <is>
          <t>Azul</t>
        </is>
      </c>
      <c r="F178" s="87" t="inlineStr">
        <is>
          <t>Isabella</t>
        </is>
      </c>
      <c r="G178" s="87" t="inlineStr">
        <is>
          <t>F</t>
        </is>
      </c>
      <c r="H178" s="78" t="n"/>
      <c r="I178" s="87" t="n"/>
      <c r="J178" s="87" t="inlineStr">
        <is>
          <t>Pendente</t>
        </is>
      </c>
      <c r="K178" s="60" t="n">
        <v>46089</v>
      </c>
      <c r="L178" s="87">
        <f>TEXT(A178,"mmmm")</f>
        <v/>
      </c>
    </row>
    <row r="179" ht="15" customHeight="1" s="83">
      <c r="A179" s="60" t="n">
        <v>46080</v>
      </c>
      <c r="B179" s="60" t="n">
        <v>46083</v>
      </c>
      <c r="C179" s="60" t="n">
        <v>46086</v>
      </c>
      <c r="D179" s="87" t="inlineStr">
        <is>
          <t>SERGIO RICARDO DE OLIVEIRA MUNIZ</t>
        </is>
      </c>
      <c r="E179" s="87" t="inlineStr">
        <is>
          <t>Azul</t>
        </is>
      </c>
      <c r="F179" s="87" t="inlineStr">
        <is>
          <t>John</t>
        </is>
      </c>
      <c r="G179" s="87" t="inlineStr">
        <is>
          <t>M</t>
        </is>
      </c>
      <c r="H179" s="78" t="n"/>
      <c r="I179" s="87" t="n"/>
      <c r="J179" s="87" t="inlineStr">
        <is>
          <t>Pendente</t>
        </is>
      </c>
      <c r="K179" s="60" t="n">
        <v>46089</v>
      </c>
      <c r="L179" s="87">
        <f>TEXT(A179,"mmmm")</f>
        <v/>
      </c>
    </row>
    <row r="180" ht="15" customHeight="1" s="83">
      <c r="A180" s="60" t="n">
        <v>46080</v>
      </c>
      <c r="B180" s="60" t="n">
        <v>46083</v>
      </c>
      <c r="C180" s="60" t="n">
        <v>46086</v>
      </c>
      <c r="D180" s="87" t="inlineStr">
        <is>
          <t>SIDNEY CASCIALLI ROSA</t>
        </is>
      </c>
      <c r="E180" s="87" t="inlineStr">
        <is>
          <t>Azul</t>
        </is>
      </c>
      <c r="F180" s="87" t="inlineStr">
        <is>
          <t>John</t>
        </is>
      </c>
      <c r="G180" s="87" t="inlineStr">
        <is>
          <t>M</t>
        </is>
      </c>
      <c r="H180" s="78" t="n"/>
      <c r="I180" s="87" t="n"/>
      <c r="J180" s="87" t="inlineStr">
        <is>
          <t>Pendente</t>
        </is>
      </c>
      <c r="K180" s="60" t="n">
        <v>46089</v>
      </c>
      <c r="L180" s="87">
        <f>TEXT(A180,"mmmm")</f>
        <v/>
      </c>
    </row>
    <row r="181" ht="15" customHeight="1" s="83">
      <c r="A181" s="60" t="n">
        <v>46080</v>
      </c>
      <c r="B181" s="60" t="n">
        <v>46083</v>
      </c>
      <c r="C181" s="60" t="n">
        <v>46086</v>
      </c>
      <c r="D181" s="87" t="inlineStr">
        <is>
          <t>KATIA REGINA DE OLIVEIRA MUNIZ</t>
        </is>
      </c>
      <c r="E181" s="87" t="inlineStr">
        <is>
          <t>Suhai</t>
        </is>
      </c>
      <c r="F181" s="87" t="inlineStr">
        <is>
          <t>John</t>
        </is>
      </c>
      <c r="G181" s="87" t="inlineStr">
        <is>
          <t>M</t>
        </is>
      </c>
      <c r="H181" s="78" t="n"/>
      <c r="I181" s="87" t="n"/>
      <c r="J181" s="87" t="inlineStr">
        <is>
          <t>Pendente</t>
        </is>
      </c>
      <c r="K181" s="60" t="n">
        <v>46089</v>
      </c>
      <c r="L181" s="87">
        <f>TEXT(A181,"mmmm")</f>
        <v/>
      </c>
      <c r="N181" s="87" t="n"/>
      <c r="O181" s="62" t="n"/>
      <c r="X181" s="87" t="n"/>
      <c r="Y181" s="87" t="n"/>
    </row>
    <row r="182" ht="15" customHeight="1" s="83">
      <c r="A182" s="60" t="n">
        <v>46080</v>
      </c>
      <c r="B182" s="60" t="n">
        <v>46083</v>
      </c>
      <c r="C182" s="60" t="n">
        <v>46086</v>
      </c>
      <c r="D182" s="87" t="inlineStr">
        <is>
          <t>FELIPE PATRICIO DA SILVA</t>
        </is>
      </c>
      <c r="E182" s="87" t="inlineStr">
        <is>
          <t>Azul</t>
        </is>
      </c>
      <c r="F182" s="87" t="inlineStr">
        <is>
          <t>John</t>
        </is>
      </c>
      <c r="G182" s="87" t="inlineStr">
        <is>
          <t>M</t>
        </is>
      </c>
      <c r="H182" s="76" t="n"/>
      <c r="I182" s="87" t="n"/>
      <c r="J182" s="87" t="inlineStr">
        <is>
          <t>Pendente</t>
        </is>
      </c>
      <c r="K182" s="60" t="n">
        <v>46089</v>
      </c>
      <c r="L182" s="87">
        <f>TEXT(A182,"mmmm")</f>
        <v/>
      </c>
      <c r="N182" s="87" t="n"/>
      <c r="O182" s="62" t="n"/>
      <c r="X182" s="87" t="n"/>
      <c r="Y182" s="87" t="n"/>
    </row>
    <row r="183" ht="15" customHeight="1" s="83">
      <c r="A183" s="60" t="n">
        <v>46080</v>
      </c>
      <c r="B183" s="60" t="n">
        <v>46083</v>
      </c>
      <c r="C183" s="60" t="n">
        <v>46086</v>
      </c>
      <c r="D183" s="87" t="inlineStr">
        <is>
          <t xml:space="preserve">FELIPE PATRICIO DA SILVA </t>
        </is>
      </c>
      <c r="E183" s="87" t="inlineStr">
        <is>
          <t>Azul</t>
        </is>
      </c>
      <c r="F183" s="87" t="inlineStr">
        <is>
          <t>John</t>
        </is>
      </c>
      <c r="G183" s="87" t="inlineStr">
        <is>
          <t>M</t>
        </is>
      </c>
      <c r="H183" s="78" t="n"/>
      <c r="I183" s="87" t="inlineStr">
        <is>
          <t>Endosso</t>
        </is>
      </c>
      <c r="J183" s="87" t="inlineStr">
        <is>
          <t>Pendente</t>
        </is>
      </c>
      <c r="K183" s="60" t="n">
        <v>46089</v>
      </c>
      <c r="L183" s="87">
        <f>TEXT(A183,"mmmm")</f>
        <v/>
      </c>
    </row>
    <row r="184" ht="15" customHeight="1" s="83">
      <c r="A184" s="60" t="n">
        <v>46080</v>
      </c>
      <c r="B184" s="60" t="n">
        <v>46083</v>
      </c>
      <c r="C184" s="60" t="n">
        <v>46086</v>
      </c>
      <c r="D184" s="87" t="inlineStr">
        <is>
          <t>ELDER FRANCISCO MARTINS</t>
        </is>
      </c>
      <c r="E184" s="87" t="inlineStr">
        <is>
          <t>Tokio</t>
        </is>
      </c>
      <c r="F184" s="87" t="inlineStr">
        <is>
          <t>Jacqueline</t>
        </is>
      </c>
      <c r="G184" s="87" t="inlineStr">
        <is>
          <t>F</t>
        </is>
      </c>
      <c r="H184" s="78" t="n"/>
      <c r="I184" s="87" t="n"/>
      <c r="J184" s="87" t="inlineStr">
        <is>
          <t>Pendente</t>
        </is>
      </c>
      <c r="K184" s="60" t="n">
        <v>46089</v>
      </c>
      <c r="L184" s="87">
        <f>TEXT(A184,"mmmm")</f>
        <v/>
      </c>
    </row>
    <row r="185" ht="15" customHeight="1" s="83">
      <c r="A185" s="60" t="n">
        <v>46080</v>
      </c>
      <c r="B185" s="60" t="n">
        <v>46083</v>
      </c>
      <c r="C185" s="60" t="n">
        <v>46086</v>
      </c>
      <c r="D185" s="87" t="inlineStr">
        <is>
          <t>EVANALDO SOARES DE MATOS</t>
        </is>
      </c>
      <c r="E185" s="87" t="inlineStr">
        <is>
          <t>Azul</t>
        </is>
      </c>
      <c r="F185" s="87" t="inlineStr">
        <is>
          <t>Leticia</t>
        </is>
      </c>
      <c r="G185" s="87" t="inlineStr">
        <is>
          <t>F</t>
        </is>
      </c>
      <c r="H185" s="78" t="n"/>
      <c r="I185" s="87" t="n"/>
      <c r="J185" s="87" t="inlineStr">
        <is>
          <t>Pendente</t>
        </is>
      </c>
      <c r="K185" s="60" t="n">
        <v>46089</v>
      </c>
      <c r="L185" s="87">
        <f>TEXT(A185,"mmmm")</f>
        <v/>
      </c>
      <c r="N185" s="87" t="n"/>
      <c r="O185" s="62" t="n"/>
      <c r="X185" s="87" t="n"/>
      <c r="Y185" s="87" t="n"/>
    </row>
    <row r="186" ht="15" customHeight="1" s="83">
      <c r="A186" s="60" t="n">
        <v>46080</v>
      </c>
      <c r="B186" s="60" t="n">
        <v>46083</v>
      </c>
      <c r="C186" s="60" t="n">
        <v>46086</v>
      </c>
      <c r="D186" s="87" t="inlineStr">
        <is>
          <t>JEFFERSON CAMARGO JUNIOR ME</t>
        </is>
      </c>
      <c r="E186" s="87" t="inlineStr">
        <is>
          <t>Porto</t>
        </is>
      </c>
      <c r="F186" s="87" t="inlineStr">
        <is>
          <t>John</t>
        </is>
      </c>
      <c r="G186" s="87" t="inlineStr">
        <is>
          <t>M</t>
        </is>
      </c>
      <c r="H186" s="78" t="n"/>
      <c r="I186" s="87" t="n"/>
      <c r="J186" s="87" t="inlineStr">
        <is>
          <t>Pendente</t>
        </is>
      </c>
      <c r="K186" s="60" t="n">
        <v>46089</v>
      </c>
      <c r="L186" s="87">
        <f>TEXT(A186,"mmmm")</f>
        <v/>
      </c>
    </row>
    <row r="187" ht="15" customHeight="1" s="83">
      <c r="A187" s="60" t="n">
        <v>46080</v>
      </c>
      <c r="B187" s="60" t="n">
        <v>46083</v>
      </c>
      <c r="C187" s="60" t="n">
        <v>46086</v>
      </c>
      <c r="D187" s="87" t="inlineStr">
        <is>
          <t>SILVANO BARBOSA DOS SANTOS</t>
        </is>
      </c>
      <c r="E187" s="87" t="inlineStr">
        <is>
          <t>Azul</t>
        </is>
      </c>
      <c r="F187" s="87" t="inlineStr">
        <is>
          <t>Jacqueline</t>
        </is>
      </c>
      <c r="G187" s="87" t="inlineStr">
        <is>
          <t>F</t>
        </is>
      </c>
      <c r="H187" s="78" t="n"/>
      <c r="I187" s="87" t="n"/>
      <c r="J187" s="87" t="inlineStr">
        <is>
          <t>Pendente</t>
        </is>
      </c>
      <c r="K187" s="60" t="n">
        <v>46089</v>
      </c>
      <c r="L187" s="87">
        <f>TEXT(A187,"mmmm")</f>
        <v/>
      </c>
    </row>
    <row r="188" ht="15" customHeight="1" s="83">
      <c r="A188" s="60" t="n">
        <v>46083</v>
      </c>
      <c r="B188" s="60" t="n">
        <v>46086</v>
      </c>
      <c r="C188" s="60" t="n">
        <v>46089</v>
      </c>
      <c r="D188" s="87" t="inlineStr">
        <is>
          <t>ADAO VAN RANDOW SETTE</t>
        </is>
      </c>
      <c r="E188" s="87" t="inlineStr">
        <is>
          <t>Azul</t>
        </is>
      </c>
      <c r="F188" s="87" t="inlineStr">
        <is>
          <t>Enzo</t>
        </is>
      </c>
      <c r="G188" s="87" t="inlineStr">
        <is>
          <t>M</t>
        </is>
      </c>
      <c r="H188" s="78" t="n"/>
      <c r="I188" s="87" t="n"/>
      <c r="J188" s="87" t="inlineStr">
        <is>
          <t>Pendente</t>
        </is>
      </c>
      <c r="K188" s="60" t="n">
        <v>46092</v>
      </c>
      <c r="L188" s="87">
        <f>TEXT(A188,"mmmm")</f>
        <v/>
      </c>
    </row>
    <row r="189" ht="15" customHeight="1" s="83">
      <c r="A189" s="60" t="n">
        <v>46083</v>
      </c>
      <c r="B189" s="60" t="n">
        <v>46086</v>
      </c>
      <c r="C189" s="60" t="n">
        <v>46089</v>
      </c>
      <c r="D189" s="87" t="inlineStr">
        <is>
          <t>IRINEU NOGUEIRA JUNIOR</t>
        </is>
      </c>
      <c r="E189" s="87" t="inlineStr">
        <is>
          <t>Zurich</t>
        </is>
      </c>
      <c r="F189" s="87" t="inlineStr">
        <is>
          <t>Enzo</t>
        </is>
      </c>
      <c r="G189" s="87" t="inlineStr">
        <is>
          <t>M</t>
        </is>
      </c>
      <c r="H189" s="78" t="n"/>
      <c r="I189" s="87" t="n"/>
      <c r="J189" s="87" t="inlineStr">
        <is>
          <t>Pendente</t>
        </is>
      </c>
      <c r="K189" s="60" t="n">
        <v>46092</v>
      </c>
      <c r="L189" s="87">
        <f>TEXT(A189,"mmmm")</f>
        <v/>
      </c>
    </row>
    <row r="190" ht="15" customHeight="1" s="83">
      <c r="A190" s="60" t="n">
        <v>46083</v>
      </c>
      <c r="B190" s="60" t="n">
        <v>46086</v>
      </c>
      <c r="C190" s="60" t="n">
        <v>46089</v>
      </c>
      <c r="D190" s="87" t="inlineStr">
        <is>
          <t>JULIANO APARECIDO DE ABREU</t>
        </is>
      </c>
      <c r="E190" s="87" t="inlineStr">
        <is>
          <t>Suhai</t>
        </is>
      </c>
      <c r="F190" s="87" t="inlineStr">
        <is>
          <t>Enzo</t>
        </is>
      </c>
      <c r="G190" s="87" t="inlineStr">
        <is>
          <t>M</t>
        </is>
      </c>
      <c r="H190" s="78" t="n"/>
      <c r="I190" s="87" t="n"/>
      <c r="J190" s="87" t="inlineStr">
        <is>
          <t>Pendente</t>
        </is>
      </c>
      <c r="K190" s="60" t="n">
        <v>46092</v>
      </c>
      <c r="L190" s="87">
        <f>TEXT(A190,"mmmm")</f>
        <v/>
      </c>
      <c r="N190" s="87" t="n"/>
      <c r="O190" s="62" t="n"/>
      <c r="X190" s="87" t="n"/>
      <c r="Y190" s="87" t="n"/>
    </row>
    <row r="191" ht="15" customHeight="1" s="83">
      <c r="A191" s="60" t="n">
        <v>46083</v>
      </c>
      <c r="B191" s="60" t="n">
        <v>46086</v>
      </c>
      <c r="C191" s="60" t="n">
        <v>46089</v>
      </c>
      <c r="D191" s="87" t="inlineStr">
        <is>
          <t>MANOEL JOAO DIAS</t>
        </is>
      </c>
      <c r="E191" s="87" t="inlineStr">
        <is>
          <t>Suhai</t>
        </is>
      </c>
      <c r="F191" s="87" t="inlineStr">
        <is>
          <t>John</t>
        </is>
      </c>
      <c r="G191" s="87" t="inlineStr">
        <is>
          <t>M</t>
        </is>
      </c>
      <c r="H191" s="78" t="n"/>
      <c r="I191" s="87" t="n"/>
      <c r="J191" s="87" t="inlineStr">
        <is>
          <t>Pendente</t>
        </is>
      </c>
      <c r="K191" s="60" t="n">
        <v>46092</v>
      </c>
      <c r="L191" s="87">
        <f>TEXT(A191,"mmmm")</f>
        <v/>
      </c>
      <c r="N191" s="87" t="n"/>
      <c r="O191" s="62" t="n"/>
      <c r="X191" s="87" t="n"/>
      <c r="Y191" s="87" t="n"/>
    </row>
    <row r="192" ht="15" customHeight="1" s="83">
      <c r="A192" s="60" t="n">
        <v>46083</v>
      </c>
      <c r="B192" s="60" t="n">
        <v>46086</v>
      </c>
      <c r="C192" s="60" t="n">
        <v>46089</v>
      </c>
      <c r="D192" s="87" t="inlineStr">
        <is>
          <t>MANOEL JOAO DIAS</t>
        </is>
      </c>
      <c r="E192" s="87" t="inlineStr">
        <is>
          <t>Azul</t>
        </is>
      </c>
      <c r="F192" s="87" t="inlineStr">
        <is>
          <t>John</t>
        </is>
      </c>
      <c r="G192" s="87" t="inlineStr">
        <is>
          <t>M</t>
        </is>
      </c>
      <c r="H192" s="78" t="n"/>
      <c r="I192" s="87" t="n"/>
      <c r="J192" s="87" t="inlineStr">
        <is>
          <t>Pendente</t>
        </is>
      </c>
      <c r="K192" s="60" t="n">
        <v>46092</v>
      </c>
      <c r="L192" s="87">
        <f>TEXT(A192,"mmmm")</f>
        <v/>
      </c>
      <c r="N192" s="87" t="n"/>
      <c r="O192" s="62" t="n"/>
      <c r="X192" s="87" t="n"/>
      <c r="Y192" s="87" t="n"/>
    </row>
    <row r="193" ht="15" customHeight="1" s="83">
      <c r="A193" s="60" t="n">
        <v>46083</v>
      </c>
      <c r="B193" s="60" t="n">
        <v>46086</v>
      </c>
      <c r="C193" s="60" t="n">
        <v>46089</v>
      </c>
      <c r="D193" s="87" t="inlineStr">
        <is>
          <t>ERIC FERNANDO MONTEIRO DA SILVA</t>
        </is>
      </c>
      <c r="E193" s="87" t="inlineStr">
        <is>
          <t>Suhai</t>
        </is>
      </c>
      <c r="F193" s="87" t="inlineStr">
        <is>
          <t>Jéssica</t>
        </is>
      </c>
      <c r="G193" s="87" t="inlineStr">
        <is>
          <t>F</t>
        </is>
      </c>
      <c r="H193" s="78" t="n"/>
      <c r="I193" s="87" t="n"/>
      <c r="J193" s="87" t="inlineStr">
        <is>
          <t>Pendente</t>
        </is>
      </c>
      <c r="K193" s="60" t="n">
        <v>46092</v>
      </c>
      <c r="L193" s="87">
        <f>TEXT(A193,"mmmm")</f>
        <v/>
      </c>
      <c r="N193" s="87" t="n"/>
      <c r="O193" s="62" t="n"/>
      <c r="X193" s="87" t="n"/>
      <c r="Y193" s="87" t="n"/>
    </row>
    <row r="194" ht="15" customHeight="1" s="83">
      <c r="A194" s="60" t="n">
        <v>46083</v>
      </c>
      <c r="B194" s="60" t="n">
        <v>46086</v>
      </c>
      <c r="C194" s="60" t="n">
        <v>46089</v>
      </c>
      <c r="D194" s="87" t="inlineStr">
        <is>
          <t>GERALDO RIBEIRO SILVERIO</t>
        </is>
      </c>
      <c r="E194" s="87" t="inlineStr">
        <is>
          <t>Porto</t>
        </is>
      </c>
      <c r="F194" s="87" t="inlineStr">
        <is>
          <t>John</t>
        </is>
      </c>
      <c r="G194" s="87" t="inlineStr">
        <is>
          <t>M</t>
        </is>
      </c>
      <c r="H194" s="78" t="n"/>
      <c r="I194" s="87" t="n"/>
      <c r="J194" s="87" t="inlineStr">
        <is>
          <t>Pendente</t>
        </is>
      </c>
      <c r="K194" s="60" t="n">
        <v>46092</v>
      </c>
      <c r="L194" s="87">
        <f>TEXT(A194,"mmmm")</f>
        <v/>
      </c>
      <c r="N194" s="87" t="n"/>
      <c r="O194" s="62" t="n"/>
      <c r="X194" s="87" t="n"/>
      <c r="Y194" s="87" t="n"/>
    </row>
    <row r="195" ht="15" customHeight="1" s="83">
      <c r="A195" s="60" t="n">
        <v>46083</v>
      </c>
      <c r="B195" s="60" t="n">
        <v>46086</v>
      </c>
      <c r="C195" s="60" t="n">
        <v>46089</v>
      </c>
      <c r="D195" s="87" t="inlineStr">
        <is>
          <t>NEURI BORGES DE SOUZA</t>
        </is>
      </c>
      <c r="E195" s="87" t="inlineStr">
        <is>
          <t>Azul</t>
        </is>
      </c>
      <c r="F195" s="87" t="inlineStr">
        <is>
          <t>John</t>
        </is>
      </c>
      <c r="G195" s="87" t="inlineStr">
        <is>
          <t>M</t>
        </is>
      </c>
      <c r="H195" s="78" t="n"/>
      <c r="I195" s="87" t="n"/>
      <c r="J195" s="87" t="inlineStr">
        <is>
          <t>Pendente</t>
        </is>
      </c>
      <c r="K195" s="60" t="n">
        <v>46092</v>
      </c>
      <c r="L195" s="87">
        <f>TEXT(A195,"mmmm")</f>
        <v/>
      </c>
      <c r="N195" s="87" t="n"/>
      <c r="O195" s="62" t="n"/>
      <c r="X195" s="87" t="n"/>
      <c r="Y195" s="87" t="n"/>
    </row>
    <row r="196" s="83">
      <c r="A196" s="60" t="n">
        <v>46084</v>
      </c>
      <c r="B196" s="60" t="n">
        <v>46087</v>
      </c>
      <c r="C196" s="60" t="n">
        <v>46090</v>
      </c>
      <c r="D196" s="87" t="inlineStr">
        <is>
          <t>LEONARDO RYAN ALVES DE MENEZES</t>
        </is>
      </c>
      <c r="E196" s="87" t="inlineStr">
        <is>
          <t>Bradesco</t>
        </is>
      </c>
      <c r="F196" s="87" t="inlineStr">
        <is>
          <t>John</t>
        </is>
      </c>
      <c r="G196" s="87" t="inlineStr">
        <is>
          <t>M</t>
        </is>
      </c>
      <c r="H196" s="78" t="n"/>
      <c r="I196" s="87" t="n"/>
      <c r="J196" s="87" t="inlineStr">
        <is>
          <t>Pendente</t>
        </is>
      </c>
      <c r="K196" s="60" t="n">
        <v>46093</v>
      </c>
      <c r="L196" s="87">
        <f>TEXT(A196,"mmmm")</f>
        <v/>
      </c>
      <c r="N196" s="87" t="n"/>
      <c r="O196" s="62" t="n"/>
      <c r="X196" s="87" t="n"/>
      <c r="Y196" s="87" t="n"/>
    </row>
    <row r="197" s="83">
      <c r="A197" s="60" t="n">
        <v>46084</v>
      </c>
      <c r="B197" s="60" t="n">
        <v>46087</v>
      </c>
      <c r="C197" s="60" t="n">
        <v>46090</v>
      </c>
      <c r="D197" s="87" t="inlineStr">
        <is>
          <t>JOSE GERALDO BARBOSA DE JESUS</t>
        </is>
      </c>
      <c r="E197" s="87" t="inlineStr">
        <is>
          <t>Porto</t>
        </is>
      </c>
      <c r="F197" s="87" t="inlineStr">
        <is>
          <t>John</t>
        </is>
      </c>
      <c r="G197" s="87" t="inlineStr">
        <is>
          <t>M</t>
        </is>
      </c>
      <c r="H197" s="78" t="n"/>
      <c r="I197" s="87" t="n"/>
      <c r="J197" s="87" t="inlineStr">
        <is>
          <t>Pendente</t>
        </is>
      </c>
      <c r="K197" s="60" t="n">
        <v>46093</v>
      </c>
      <c r="L197" s="87">
        <f>TEXT(A197,"mmmm")</f>
        <v/>
      </c>
      <c r="N197" s="87" t="n"/>
      <c r="O197" s="62" t="n"/>
      <c r="X197" s="87" t="n"/>
      <c r="Y197" s="87" t="n"/>
    </row>
    <row r="198" ht="15" customHeight="1" s="83">
      <c r="A198" s="60" t="n">
        <v>46084</v>
      </c>
      <c r="B198" s="60" t="n">
        <v>46087</v>
      </c>
      <c r="C198" s="60" t="n">
        <v>46090</v>
      </c>
      <c r="D198" s="87" t="inlineStr">
        <is>
          <t>WILSON FONSECA LEMOS</t>
        </is>
      </c>
      <c r="E198" s="87" t="inlineStr">
        <is>
          <t>Suhai</t>
        </is>
      </c>
      <c r="F198" s="87" t="inlineStr">
        <is>
          <t>John</t>
        </is>
      </c>
      <c r="G198" s="87" t="inlineStr">
        <is>
          <t>M</t>
        </is>
      </c>
      <c r="H198" s="78" t="n"/>
      <c r="I198" s="87" t="n"/>
      <c r="J198" s="87" t="inlineStr">
        <is>
          <t>Pendente</t>
        </is>
      </c>
      <c r="K198" s="60" t="n">
        <v>46093</v>
      </c>
      <c r="L198" s="87">
        <f>TEXT(A198,"mmmm")</f>
        <v/>
      </c>
      <c r="N198" s="87" t="n"/>
      <c r="O198" s="62" t="n"/>
      <c r="X198" s="87" t="n"/>
      <c r="Y198" s="87" t="n"/>
    </row>
    <row r="199">
      <c r="A199" s="60" t="n">
        <v>46084</v>
      </c>
      <c r="B199" s="60" t="n">
        <v>46087</v>
      </c>
      <c r="C199" s="60" t="n">
        <v>46090</v>
      </c>
      <c r="D199" s="87" t="inlineStr">
        <is>
          <t>PAULO SERGIO ALVES AZEVEDO</t>
        </is>
      </c>
      <c r="E199" s="87" t="inlineStr">
        <is>
          <t>Tokio</t>
        </is>
      </c>
      <c r="F199" s="87" t="inlineStr">
        <is>
          <t>John</t>
        </is>
      </c>
      <c r="G199" s="87" t="inlineStr">
        <is>
          <t>M</t>
        </is>
      </c>
      <c r="H199" s="78" t="n"/>
      <c r="I199" s="87" t="n"/>
      <c r="J199" s="87" t="inlineStr">
        <is>
          <t>Pendente</t>
        </is>
      </c>
      <c r="K199" s="60" t="n">
        <v>46093</v>
      </c>
      <c r="L199" s="87">
        <f>TEXT(A199,"mmmm")</f>
        <v/>
      </c>
    </row>
    <row r="200">
      <c r="A200" s="60" t="n">
        <v>46084</v>
      </c>
      <c r="B200" s="60" t="n">
        <v>46087</v>
      </c>
      <c r="C200" s="60" t="n">
        <v>46090</v>
      </c>
      <c r="D200" s="87" t="inlineStr">
        <is>
          <t>EMERSON VIEIRA DA SILVA</t>
        </is>
      </c>
      <c r="E200" s="87" t="inlineStr">
        <is>
          <t>Bradesco</t>
        </is>
      </c>
      <c r="F200" s="87" t="inlineStr">
        <is>
          <t>John</t>
        </is>
      </c>
      <c r="G200" s="87" t="inlineStr">
        <is>
          <t>M</t>
        </is>
      </c>
      <c r="H200" s="78" t="n"/>
      <c r="I200" s="87" t="n"/>
      <c r="J200" s="87" t="inlineStr">
        <is>
          <t>Pendente</t>
        </is>
      </c>
      <c r="K200" s="60" t="n">
        <v>46093</v>
      </c>
      <c r="L200" s="87">
        <f>TEXT(A200,"mmmm")</f>
        <v/>
      </c>
    </row>
    <row r="201">
      <c r="A201" s="60" t="n">
        <v>46084</v>
      </c>
      <c r="B201" s="60" t="n">
        <v>46087</v>
      </c>
      <c r="C201" s="60" t="n">
        <v>46090</v>
      </c>
      <c r="D201" s="87" t="inlineStr">
        <is>
          <t>RAIMUNDO DE PAULA FILHO</t>
        </is>
      </c>
      <c r="E201" s="87" t="inlineStr">
        <is>
          <t>Tokio</t>
        </is>
      </c>
      <c r="F201" s="87" t="inlineStr">
        <is>
          <t>John</t>
        </is>
      </c>
      <c r="G201" s="87" t="inlineStr">
        <is>
          <t>M</t>
        </is>
      </c>
      <c r="H201" s="78" t="n"/>
      <c r="I201" s="87" t="n"/>
      <c r="J201" s="87" t="inlineStr">
        <is>
          <t>Pendente</t>
        </is>
      </c>
      <c r="K201" s="60" t="n">
        <v>46093</v>
      </c>
      <c r="L201" s="87">
        <f>TEXT(A201,"mmmm")</f>
        <v/>
      </c>
    </row>
    <row r="202">
      <c r="A202" s="60" t="n">
        <v>46084</v>
      </c>
      <c r="B202" s="60" t="n">
        <v>46087</v>
      </c>
      <c r="C202" s="60" t="n">
        <v>46090</v>
      </c>
      <c r="D202" s="87" t="inlineStr">
        <is>
          <t>WILSON RAMOS</t>
        </is>
      </c>
      <c r="E202" s="87" t="inlineStr">
        <is>
          <t>Tokio</t>
        </is>
      </c>
      <c r="F202" s="87" t="inlineStr">
        <is>
          <t>Leticia</t>
        </is>
      </c>
      <c r="G202" s="87" t="inlineStr">
        <is>
          <t>F</t>
        </is>
      </c>
      <c r="H202" s="78" t="n"/>
      <c r="I202" s="87" t="n"/>
      <c r="J202" s="87" t="inlineStr">
        <is>
          <t>Pendente</t>
        </is>
      </c>
      <c r="K202" s="60" t="n">
        <v>46093</v>
      </c>
      <c r="L202" s="87">
        <f>TEXT(A202,"mmmm")</f>
        <v/>
      </c>
    </row>
    <row r="203" ht="15" customHeight="1" s="83">
      <c r="A203" s="60" t="n">
        <v>46084</v>
      </c>
      <c r="B203" s="60" t="n">
        <v>46087</v>
      </c>
      <c r="C203" s="60" t="n">
        <v>46090</v>
      </c>
      <c r="D203" s="87" t="inlineStr">
        <is>
          <t>ANDERSON PERES DE OLIVEIRA</t>
        </is>
      </c>
      <c r="E203" s="87" t="inlineStr">
        <is>
          <t>Tokio</t>
        </is>
      </c>
      <c r="F203" s="87" t="inlineStr">
        <is>
          <t>Enzo</t>
        </is>
      </c>
      <c r="G203" s="87" t="inlineStr">
        <is>
          <t>M</t>
        </is>
      </c>
      <c r="H203" s="78" t="n"/>
      <c r="I203" s="87" t="n"/>
      <c r="J203" s="87" t="inlineStr">
        <is>
          <t>Pendente</t>
        </is>
      </c>
      <c r="K203" s="60" t="n">
        <v>46093</v>
      </c>
      <c r="L203" s="87">
        <f>TEXT(A203,"mmmm")</f>
        <v/>
      </c>
    </row>
    <row r="204" ht="15" customHeight="1" s="83">
      <c r="A204" s="60" t="n">
        <v>46084</v>
      </c>
      <c r="B204" s="60" t="n">
        <v>46087</v>
      </c>
      <c r="C204" s="60" t="n">
        <v>46090</v>
      </c>
      <c r="D204" s="87" t="inlineStr">
        <is>
          <t>LUIS CARLOS SOARES PACHECO</t>
        </is>
      </c>
      <c r="E204" s="87" t="inlineStr">
        <is>
          <t>Suhai</t>
        </is>
      </c>
      <c r="F204" s="87" t="inlineStr">
        <is>
          <t>Jacqueline</t>
        </is>
      </c>
      <c r="G204" s="87" t="inlineStr">
        <is>
          <t>F</t>
        </is>
      </c>
      <c r="H204" s="78" t="n"/>
      <c r="I204" s="87" t="n"/>
      <c r="J204" s="87" t="inlineStr">
        <is>
          <t>Pendente</t>
        </is>
      </c>
      <c r="K204" s="60" t="n">
        <v>46093</v>
      </c>
      <c r="L204" s="87">
        <f>TEXT(A204,"mmmm")</f>
        <v/>
      </c>
    </row>
    <row r="205" ht="15" customHeight="1" s="83">
      <c r="A205" s="60" t="n">
        <v>46084</v>
      </c>
      <c r="B205" s="60" t="n">
        <v>46087</v>
      </c>
      <c r="C205" s="60" t="n">
        <v>46090</v>
      </c>
      <c r="D205" s="87" t="inlineStr">
        <is>
          <t>ISMAIR FERREIRA DE OLIVEIRA</t>
        </is>
      </c>
      <c r="E205" s="87" t="inlineStr">
        <is>
          <t>Azul</t>
        </is>
      </c>
      <c r="F205" s="87" t="inlineStr">
        <is>
          <t>Leticia</t>
        </is>
      </c>
      <c r="G205" s="87" t="inlineStr">
        <is>
          <t>F</t>
        </is>
      </c>
      <c r="H205" s="78" t="n"/>
      <c r="I205" s="87" t="n"/>
      <c r="J205" s="87" t="inlineStr">
        <is>
          <t>Pendente</t>
        </is>
      </c>
      <c r="K205" s="60" t="n">
        <v>46093</v>
      </c>
      <c r="L205" s="87">
        <f>TEXT(A205,"mmmm")</f>
        <v/>
      </c>
    </row>
    <row r="206" ht="15" customHeight="1" s="83">
      <c r="A206" s="60" t="n">
        <v>46084</v>
      </c>
      <c r="B206" s="60" t="n">
        <v>46087</v>
      </c>
      <c r="C206" s="60" t="n">
        <v>46090</v>
      </c>
      <c r="D206" s="87" t="inlineStr">
        <is>
          <t>ELSO SAMPAIO NUNES</t>
        </is>
      </c>
      <c r="E206" s="87" t="inlineStr">
        <is>
          <t>Tokio</t>
        </is>
      </c>
      <c r="F206" s="87" t="inlineStr">
        <is>
          <t>Leticia</t>
        </is>
      </c>
      <c r="G206" s="87" t="inlineStr">
        <is>
          <t>F</t>
        </is>
      </c>
      <c r="H206" s="78" t="n"/>
      <c r="I206" s="87" t="n"/>
      <c r="J206" s="87" t="inlineStr">
        <is>
          <t>Pendente</t>
        </is>
      </c>
      <c r="K206" s="60" t="n">
        <v>46093</v>
      </c>
      <c r="L206" s="87">
        <f>TEXT(A206,"mmmm")</f>
        <v/>
      </c>
    </row>
    <row r="207" ht="15" customHeight="1" s="83">
      <c r="A207" s="60" t="n">
        <v>46084</v>
      </c>
      <c r="B207" s="60" t="n">
        <v>46087</v>
      </c>
      <c r="C207" s="60" t="n">
        <v>46090</v>
      </c>
      <c r="D207" s="87" t="inlineStr">
        <is>
          <t>CREUZA SANTANA GUNDIN</t>
        </is>
      </c>
      <c r="E207" s="87" t="inlineStr">
        <is>
          <t>Tokio</t>
        </is>
      </c>
      <c r="F207" s="87" t="inlineStr">
        <is>
          <t>John</t>
        </is>
      </c>
      <c r="G207" s="87" t="inlineStr">
        <is>
          <t>M</t>
        </is>
      </c>
      <c r="H207" s="78" t="n"/>
      <c r="I207" s="87" t="n"/>
      <c r="J207" s="87" t="inlineStr">
        <is>
          <t>Pendente</t>
        </is>
      </c>
      <c r="K207" s="60" t="n">
        <v>46093</v>
      </c>
      <c r="L207" s="87">
        <f>TEXT(A207,"mmmm")</f>
        <v/>
      </c>
    </row>
    <row r="208" ht="15" customHeight="1" s="83">
      <c r="A208" s="60" t="n">
        <v>46084</v>
      </c>
      <c r="B208" s="60" t="n">
        <v>46087</v>
      </c>
      <c r="C208" s="60" t="n">
        <v>46090</v>
      </c>
      <c r="D208" s="87" t="inlineStr">
        <is>
          <t>NELMA MARIA DA GLORIA LIMA</t>
        </is>
      </c>
      <c r="E208" s="87" t="inlineStr">
        <is>
          <t>Azul</t>
        </is>
      </c>
      <c r="F208" s="87" t="inlineStr">
        <is>
          <t>Jacqueline</t>
        </is>
      </c>
      <c r="G208" s="87" t="inlineStr">
        <is>
          <t>F</t>
        </is>
      </c>
      <c r="H208" s="78" t="n"/>
      <c r="I208" s="87" t="n"/>
      <c r="J208" s="87" t="inlineStr">
        <is>
          <t>Pendente</t>
        </is>
      </c>
      <c r="K208" s="60" t="n">
        <v>46093</v>
      </c>
      <c r="L208" s="87">
        <f>TEXT(A208,"mmmm")</f>
        <v/>
      </c>
    </row>
    <row r="209" ht="15" customHeight="1" s="83">
      <c r="A209" s="60" t="n">
        <v>46084</v>
      </c>
      <c r="B209" s="60" t="n">
        <v>46087</v>
      </c>
      <c r="C209" s="60" t="n">
        <v>46090</v>
      </c>
      <c r="D209" s="87" t="inlineStr">
        <is>
          <t>CRISTIANO DANTAS NOVAES</t>
        </is>
      </c>
      <c r="E209" s="87" t="inlineStr">
        <is>
          <t>Suhai</t>
        </is>
      </c>
      <c r="F209" s="87" t="inlineStr">
        <is>
          <t>Isabella</t>
        </is>
      </c>
      <c r="G209" s="87" t="inlineStr">
        <is>
          <t>F</t>
        </is>
      </c>
      <c r="H209" s="78" t="n"/>
      <c r="I209" s="87" t="n"/>
      <c r="J209" s="87" t="inlineStr">
        <is>
          <t>Pendente</t>
        </is>
      </c>
      <c r="K209" s="60" t="n">
        <v>46093</v>
      </c>
      <c r="L209" s="87">
        <f>TEXT(A209,"mmmm")</f>
        <v/>
      </c>
    </row>
    <row r="210" ht="15" customHeight="1" s="83">
      <c r="A210" s="60" t="n">
        <v>46085</v>
      </c>
      <c r="B210" s="60" t="n">
        <v>46088</v>
      </c>
      <c r="C210" s="60" t="n">
        <v>46091</v>
      </c>
      <c r="D210" s="87" t="inlineStr">
        <is>
          <t>JOAO MARIA DA SILVA</t>
        </is>
      </c>
      <c r="E210" s="87" t="inlineStr">
        <is>
          <t>Azul</t>
        </is>
      </c>
      <c r="F210" s="87" t="inlineStr">
        <is>
          <t>Leticia</t>
        </is>
      </c>
      <c r="G210" s="87" t="inlineStr">
        <is>
          <t>F</t>
        </is>
      </c>
      <c r="H210" s="78" t="n"/>
      <c r="I210" s="87" t="n"/>
      <c r="J210" s="87" t="inlineStr">
        <is>
          <t>Pendente</t>
        </is>
      </c>
      <c r="K210" s="60" t="n">
        <v>46094</v>
      </c>
      <c r="L210" s="87">
        <f>TEXT(A210,"mmmm")</f>
        <v/>
      </c>
    </row>
    <row r="211" ht="15" customHeight="1" s="83">
      <c r="A211" s="60" t="n">
        <v>46085</v>
      </c>
      <c r="B211" s="60" t="n">
        <v>46088</v>
      </c>
      <c r="C211" s="60" t="n">
        <v>46091</v>
      </c>
      <c r="D211" s="87" t="inlineStr">
        <is>
          <t>ROGERIO GRANADO</t>
        </is>
      </c>
      <c r="E211" s="87" t="inlineStr">
        <is>
          <t>Porto</t>
        </is>
      </c>
      <c r="F211" s="87" t="inlineStr">
        <is>
          <t>Leticia</t>
        </is>
      </c>
      <c r="G211" s="87" t="inlineStr">
        <is>
          <t>F</t>
        </is>
      </c>
      <c r="H211" s="78" t="n"/>
      <c r="I211" s="87" t="n"/>
      <c r="J211" s="87" t="inlineStr">
        <is>
          <t>Pendente</t>
        </is>
      </c>
      <c r="K211" s="60" t="n">
        <v>46094</v>
      </c>
      <c r="L211" s="87">
        <f>TEXT(A211,"mmmm")</f>
        <v/>
      </c>
    </row>
    <row r="212" ht="15" customHeight="1" s="83">
      <c r="A212" s="60" t="n">
        <v>46085</v>
      </c>
      <c r="B212" s="60" t="n">
        <v>46088</v>
      </c>
      <c r="C212" s="60" t="n">
        <v>46091</v>
      </c>
      <c r="D212" s="87" t="inlineStr">
        <is>
          <t>THIAGO APARECIDO AFONSO DE CARVALHO</t>
        </is>
      </c>
      <c r="E212" s="87" t="inlineStr">
        <is>
          <t>Itaú</t>
        </is>
      </c>
      <c r="F212" s="87" t="inlineStr">
        <is>
          <t>John</t>
        </is>
      </c>
      <c r="G212" s="87" t="inlineStr">
        <is>
          <t>M</t>
        </is>
      </c>
      <c r="H212" s="76" t="n"/>
      <c r="I212" s="87" t="n"/>
      <c r="J212" s="87" t="inlineStr">
        <is>
          <t>Pendente</t>
        </is>
      </c>
      <c r="K212" s="60" t="n">
        <v>46094</v>
      </c>
      <c r="L212" s="87">
        <f>TEXT(A212,"mmmm")</f>
        <v/>
      </c>
    </row>
    <row r="213" ht="15" customHeight="1" s="83">
      <c r="A213" s="60" t="n">
        <v>46085</v>
      </c>
      <c r="B213" s="14" t="n">
        <v>46088</v>
      </c>
      <c r="C213" s="14" t="n">
        <v>46091</v>
      </c>
      <c r="D213" s="87" t="inlineStr">
        <is>
          <t>MARCOS DE OLIVEIRA MUNIZ</t>
        </is>
      </c>
      <c r="E213" s="87" t="inlineStr">
        <is>
          <t>Suhai</t>
        </is>
      </c>
      <c r="F213" s="87" t="inlineStr">
        <is>
          <t>John</t>
        </is>
      </c>
      <c r="G213" s="87" t="inlineStr">
        <is>
          <t>M</t>
        </is>
      </c>
      <c r="H213" s="90" t="n"/>
      <c r="I213" s="87" t="n"/>
      <c r="J213" s="87" t="inlineStr">
        <is>
          <t>Pendente</t>
        </is>
      </c>
      <c r="K213" s="60" t="n">
        <v>46094</v>
      </c>
      <c r="L213" s="87">
        <f>TEXT(A213,"mmmm")</f>
        <v/>
      </c>
    </row>
    <row r="214" ht="15" customHeight="1" s="83">
      <c r="A214" s="60" t="n">
        <v>46085</v>
      </c>
      <c r="B214" s="14" t="n">
        <v>46088</v>
      </c>
      <c r="C214" s="14" t="n">
        <v>46091</v>
      </c>
      <c r="D214" s="87" t="inlineStr">
        <is>
          <t>IZABEL DE FATIMA ALVES SOBRAL</t>
        </is>
      </c>
      <c r="E214" s="87" t="inlineStr">
        <is>
          <t>Mapfre</t>
        </is>
      </c>
      <c r="F214" s="87" t="inlineStr">
        <is>
          <t>John</t>
        </is>
      </c>
      <c r="G214" s="87" t="inlineStr">
        <is>
          <t>M</t>
        </is>
      </c>
      <c r="H214" s="90" t="n"/>
      <c r="I214" s="87" t="n"/>
      <c r="J214" s="87" t="inlineStr">
        <is>
          <t>Pendente</t>
        </is>
      </c>
      <c r="K214" s="60" t="n">
        <v>46094</v>
      </c>
      <c r="L214" s="87">
        <f>TEXT(A214,"mmmm")</f>
        <v/>
      </c>
    </row>
    <row r="215" ht="15" customHeight="1" s="83">
      <c r="A215" s="60" t="n">
        <v>46085</v>
      </c>
      <c r="B215" s="14" t="n">
        <v>46088</v>
      </c>
      <c r="C215" s="14" t="n">
        <v>46091</v>
      </c>
      <c r="D215" s="87" t="inlineStr">
        <is>
          <t>FELIPE PATRICIO DA SILVA</t>
        </is>
      </c>
      <c r="E215" s="87" t="inlineStr">
        <is>
          <t>Allianz</t>
        </is>
      </c>
      <c r="F215" s="87" t="inlineStr">
        <is>
          <t>John</t>
        </is>
      </c>
      <c r="G215" s="87" t="inlineStr">
        <is>
          <t>M</t>
        </is>
      </c>
      <c r="H215" s="90" t="n"/>
      <c r="I215" s="87" t="n"/>
      <c r="J215" s="87" t="inlineStr">
        <is>
          <t>Pendente</t>
        </is>
      </c>
      <c r="K215" s="60" t="n">
        <v>46094</v>
      </c>
      <c r="L215" s="87">
        <f>TEXT(A215,"mmmm")</f>
        <v/>
      </c>
    </row>
    <row r="216" ht="15" customHeight="1" s="83">
      <c r="A216" s="60" t="n">
        <v>46085</v>
      </c>
      <c r="B216" s="14" t="n">
        <v>46088</v>
      </c>
      <c r="C216" s="14" t="n">
        <v>46091</v>
      </c>
      <c r="D216" s="87" t="inlineStr">
        <is>
          <t>ESTER SPINELI</t>
        </is>
      </c>
      <c r="E216" s="87" t="inlineStr">
        <is>
          <t>Porto</t>
        </is>
      </c>
      <c r="F216" s="87" t="inlineStr">
        <is>
          <t>John</t>
        </is>
      </c>
      <c r="G216" s="87" t="inlineStr">
        <is>
          <t>M</t>
        </is>
      </c>
      <c r="H216" s="90" t="n"/>
      <c r="I216" s="87" t="n"/>
      <c r="J216" s="87" t="inlineStr">
        <is>
          <t>Pendente</t>
        </is>
      </c>
      <c r="K216" s="60" t="n">
        <v>46094</v>
      </c>
      <c r="L216" s="87">
        <f>TEXT(A216,"mmmm")</f>
        <v/>
      </c>
    </row>
    <row r="217" ht="15" customHeight="1" s="83">
      <c r="A217" s="60" t="n">
        <v>46085</v>
      </c>
      <c r="B217" s="14" t="n">
        <v>46088</v>
      </c>
      <c r="C217" s="14" t="n">
        <v>46091</v>
      </c>
      <c r="D217" s="87" t="inlineStr">
        <is>
          <t>DENIS MURILO FERREIRA</t>
        </is>
      </c>
      <c r="E217" s="87" t="inlineStr">
        <is>
          <t>Azul</t>
        </is>
      </c>
      <c r="F217" s="87" t="inlineStr">
        <is>
          <t>John</t>
        </is>
      </c>
      <c r="G217" s="87" t="inlineStr">
        <is>
          <t>M</t>
        </is>
      </c>
      <c r="H217" s="90" t="n"/>
      <c r="I217" s="87" t="n"/>
      <c r="J217" s="87" t="inlineStr">
        <is>
          <t>Pendente</t>
        </is>
      </c>
      <c r="K217" s="60" t="n">
        <v>46094</v>
      </c>
      <c r="L217" s="87">
        <f>TEXT(A217,"mmmm")</f>
        <v/>
      </c>
    </row>
    <row r="218" ht="15" customHeight="1" s="83">
      <c r="A218" s="60" t="n">
        <v>46085</v>
      </c>
      <c r="B218" s="14" t="n">
        <v>46088</v>
      </c>
      <c r="C218" s="14" t="n">
        <v>46091</v>
      </c>
      <c r="D218" s="87" t="inlineStr">
        <is>
          <t>CRISTINA GONCALVES DE SOUZA</t>
        </is>
      </c>
      <c r="E218" s="87" t="inlineStr">
        <is>
          <t>Suhai</t>
        </is>
      </c>
      <c r="F218" s="87" t="inlineStr">
        <is>
          <t>John</t>
        </is>
      </c>
      <c r="G218" s="87" t="inlineStr">
        <is>
          <t>M</t>
        </is>
      </c>
      <c r="H218" s="90" t="n"/>
      <c r="I218" s="87" t="n"/>
      <c r="J218" s="87" t="inlineStr">
        <is>
          <t>Pendente</t>
        </is>
      </c>
      <c r="K218" s="60" t="n">
        <v>46094</v>
      </c>
      <c r="L218" s="87">
        <f>TEXT(A218,"mmmm")</f>
        <v/>
      </c>
    </row>
    <row r="219" ht="15" customHeight="1" s="83">
      <c r="A219" s="60" t="n">
        <v>46085</v>
      </c>
      <c r="B219" s="14" t="n">
        <v>46088</v>
      </c>
      <c r="C219" s="14" t="n">
        <v>46091</v>
      </c>
      <c r="D219" s="87" t="inlineStr">
        <is>
          <t>CRISTINA GONCALVES DE SOUZA</t>
        </is>
      </c>
      <c r="E219" s="87" t="inlineStr">
        <is>
          <t>Suhai</t>
        </is>
      </c>
      <c r="F219" s="87" t="inlineStr">
        <is>
          <t>John</t>
        </is>
      </c>
      <c r="G219" s="87" t="inlineStr">
        <is>
          <t>M</t>
        </is>
      </c>
      <c r="H219" s="90" t="n"/>
      <c r="I219" s="87" t="n"/>
      <c r="J219" s="87" t="inlineStr">
        <is>
          <t>Pendente</t>
        </is>
      </c>
      <c r="K219" s="60" t="n">
        <v>46094</v>
      </c>
      <c r="L219" s="87">
        <f>TEXT(A219,"mmmm")</f>
        <v/>
      </c>
    </row>
    <row r="220" ht="15" customHeight="1" s="83">
      <c r="A220" s="60" t="n">
        <v>46085</v>
      </c>
      <c r="B220" s="14" t="n">
        <v>46088</v>
      </c>
      <c r="C220" s="14" t="n">
        <v>46091</v>
      </c>
      <c r="D220" s="87" t="inlineStr">
        <is>
          <t>NILSON JOSE TIGRE</t>
        </is>
      </c>
      <c r="E220" s="87" t="inlineStr">
        <is>
          <t>Suhai</t>
        </is>
      </c>
      <c r="F220" s="87" t="inlineStr">
        <is>
          <t>John</t>
        </is>
      </c>
      <c r="G220" s="87" t="inlineStr">
        <is>
          <t>M</t>
        </is>
      </c>
      <c r="H220" s="90" t="n"/>
      <c r="I220" s="87" t="n"/>
      <c r="J220" s="87" t="inlineStr">
        <is>
          <t>Pendente</t>
        </is>
      </c>
      <c r="K220" s="60" t="n">
        <v>46094</v>
      </c>
      <c r="L220" s="87">
        <f>TEXT(A220,"mmmm")</f>
        <v/>
      </c>
    </row>
    <row r="221" ht="15" customHeight="1" s="83">
      <c r="A221" s="60" t="n">
        <v>46085</v>
      </c>
      <c r="B221" s="14" t="n">
        <v>46088</v>
      </c>
      <c r="C221" s="14" t="n">
        <v>46091</v>
      </c>
      <c r="D221" s="87" t="inlineStr">
        <is>
          <t>JONATAS DE SOUSA LIRA DA COSTA</t>
        </is>
      </c>
      <c r="E221" s="87" t="inlineStr">
        <is>
          <t>Itaú</t>
        </is>
      </c>
      <c r="F221" s="87" t="inlineStr">
        <is>
          <t>Enzo</t>
        </is>
      </c>
      <c r="G221" s="87" t="inlineStr">
        <is>
          <t>M</t>
        </is>
      </c>
      <c r="H221" s="90" t="n"/>
      <c r="I221" s="87" t="n"/>
      <c r="J221" s="87" t="inlineStr">
        <is>
          <t>Pendente</t>
        </is>
      </c>
      <c r="K221" s="60" t="n">
        <v>46094</v>
      </c>
      <c r="L221" s="87">
        <f>TEXT(A221,"mmmm")</f>
        <v/>
      </c>
    </row>
    <row r="222" ht="15" customHeight="1" s="83">
      <c r="A222" s="60" t="n">
        <v>46085</v>
      </c>
      <c r="B222" s="14" t="n">
        <v>46088</v>
      </c>
      <c r="C222" s="14" t="n">
        <v>46091</v>
      </c>
      <c r="D222" s="87" t="inlineStr">
        <is>
          <t>JOSE ANTONIO DA SILVA</t>
        </is>
      </c>
      <c r="E222" s="87" t="inlineStr">
        <is>
          <t>Tokio</t>
        </is>
      </c>
      <c r="F222" s="87" t="inlineStr">
        <is>
          <t>Leticia</t>
        </is>
      </c>
      <c r="G222" s="87" t="inlineStr">
        <is>
          <t>F</t>
        </is>
      </c>
      <c r="H222" s="90" t="n"/>
      <c r="I222" s="87" t="n"/>
      <c r="J222" s="87" t="inlineStr">
        <is>
          <t>Pendente</t>
        </is>
      </c>
      <c r="K222" s="60" t="n">
        <v>46094</v>
      </c>
      <c r="L222" s="87">
        <f>TEXT(A222,"mmmm")</f>
        <v/>
      </c>
    </row>
    <row r="223" ht="15" customHeight="1" s="83">
      <c r="A223" s="60" t="n">
        <v>46085</v>
      </c>
      <c r="B223" s="14" t="n">
        <v>46088</v>
      </c>
      <c r="C223" s="14" t="n">
        <v>46091</v>
      </c>
      <c r="D223" s="87" t="inlineStr">
        <is>
          <t>LUCAS MARTINS MARTINEZ</t>
        </is>
      </c>
      <c r="E223" s="87" t="inlineStr">
        <is>
          <t>Azul</t>
        </is>
      </c>
      <c r="F223" s="87" t="inlineStr">
        <is>
          <t>Jacqueline</t>
        </is>
      </c>
      <c r="G223" s="87" t="inlineStr">
        <is>
          <t>F</t>
        </is>
      </c>
      <c r="H223" s="90" t="n"/>
      <c r="I223" s="87" t="n"/>
      <c r="J223" s="87" t="inlineStr">
        <is>
          <t>Pendente</t>
        </is>
      </c>
      <c r="K223" s="60" t="n">
        <v>46094</v>
      </c>
      <c r="L223" s="87">
        <f>TEXT(A223,"mmmm")</f>
        <v/>
      </c>
    </row>
    <row r="224" ht="15" customHeight="1" s="83">
      <c r="A224" s="60" t="n">
        <v>46085</v>
      </c>
      <c r="B224" s="14" t="n">
        <v>46088</v>
      </c>
      <c r="C224" s="14" t="n">
        <v>46091</v>
      </c>
      <c r="D224" s="87" t="inlineStr">
        <is>
          <t>ANTONIO ROMILTON DA SILVA OLIVEIRA</t>
        </is>
      </c>
      <c r="E224" s="87" t="inlineStr">
        <is>
          <t>Azul</t>
        </is>
      </c>
      <c r="F224" s="87" t="inlineStr">
        <is>
          <t>Jacqueline</t>
        </is>
      </c>
      <c r="G224" s="87" t="inlineStr">
        <is>
          <t>F</t>
        </is>
      </c>
      <c r="H224" s="90" t="n"/>
      <c r="I224" s="87" t="n"/>
      <c r="J224" s="87" t="inlineStr">
        <is>
          <t>Pendente</t>
        </is>
      </c>
      <c r="K224" s="60" t="n">
        <v>46094</v>
      </c>
      <c r="L224" s="87">
        <f>TEXT(A224,"mmmm")</f>
        <v/>
      </c>
    </row>
    <row r="225" ht="15" customHeight="1" s="83">
      <c r="A225" s="60" t="n">
        <v>46085</v>
      </c>
      <c r="B225" s="14" t="n">
        <v>46088</v>
      </c>
      <c r="C225" s="14" t="n">
        <v>46091</v>
      </c>
      <c r="D225" s="87" t="inlineStr">
        <is>
          <t>JULIANO CAMARGO DA CUNHA</t>
        </is>
      </c>
      <c r="E225" s="87" t="inlineStr">
        <is>
          <t>Suhai</t>
        </is>
      </c>
      <c r="F225" s="87" t="inlineStr">
        <is>
          <t>Leticia</t>
        </is>
      </c>
      <c r="G225" s="87" t="inlineStr">
        <is>
          <t>F</t>
        </is>
      </c>
      <c r="H225" s="90" t="n"/>
      <c r="I225" s="87" t="n"/>
      <c r="J225" s="87" t="inlineStr">
        <is>
          <t>Pendente</t>
        </is>
      </c>
      <c r="K225" s="60" t="n">
        <v>46094</v>
      </c>
      <c r="L225" s="87">
        <f>TEXT(A225,"mmmm")</f>
        <v/>
      </c>
    </row>
    <row r="226" ht="15" customHeight="1" s="83">
      <c r="A226" s="60" t="n">
        <v>46085</v>
      </c>
      <c r="B226" s="14" t="n">
        <v>46088</v>
      </c>
      <c r="C226" s="14" t="n">
        <v>46091</v>
      </c>
      <c r="D226" s="87" t="inlineStr">
        <is>
          <t>ITAMAR DE MELO ACCESSOR</t>
        </is>
      </c>
      <c r="E226" s="87" t="inlineStr">
        <is>
          <t>Suhai</t>
        </is>
      </c>
      <c r="F226" s="87" t="inlineStr">
        <is>
          <t>John</t>
        </is>
      </c>
      <c r="G226" s="87" t="inlineStr">
        <is>
          <t>M</t>
        </is>
      </c>
      <c r="H226" s="90" t="n"/>
      <c r="I226" s="87" t="n"/>
      <c r="J226" s="87" t="inlineStr">
        <is>
          <t>Pendente</t>
        </is>
      </c>
      <c r="K226" s="60" t="n">
        <v>46094</v>
      </c>
      <c r="L226" s="87">
        <f>TEXT(A226,"mmmm")</f>
        <v/>
      </c>
    </row>
    <row r="227" ht="15" customHeight="1" s="83">
      <c r="A227" s="60" t="n">
        <v>46086</v>
      </c>
      <c r="B227" s="14" t="n">
        <v>46089</v>
      </c>
      <c r="C227" s="14" t="n">
        <v>46092</v>
      </c>
      <c r="D227" s="87" t="inlineStr">
        <is>
          <t>JUAREZ LIMA SANTOS</t>
        </is>
      </c>
      <c r="E227" s="87" t="inlineStr">
        <is>
          <t>Porto</t>
        </is>
      </c>
      <c r="F227" s="87" t="inlineStr">
        <is>
          <t>Leticia</t>
        </is>
      </c>
      <c r="G227" s="87" t="inlineStr">
        <is>
          <t>F</t>
        </is>
      </c>
      <c r="H227" s="90" t="n"/>
      <c r="I227" s="87" t="n"/>
      <c r="J227" s="87" t="inlineStr">
        <is>
          <t>Pendente</t>
        </is>
      </c>
      <c r="K227" s="60" t="n">
        <v>46095</v>
      </c>
      <c r="L227" s="87">
        <f>TEXT(A227,"mmmm")</f>
        <v/>
      </c>
    </row>
    <row r="228" ht="15" customHeight="1" s="83">
      <c r="A228" s="60" t="n">
        <v>46086</v>
      </c>
      <c r="B228" s="14" t="n">
        <v>46089</v>
      </c>
      <c r="C228" s="14" t="n">
        <v>46092</v>
      </c>
      <c r="D228" s="87" t="inlineStr">
        <is>
          <t>ALEXANDRE ROBERTO PIMENTA</t>
        </is>
      </c>
      <c r="E228" s="87" t="inlineStr">
        <is>
          <t>Azul</t>
        </is>
      </c>
      <c r="F228" s="87" t="inlineStr">
        <is>
          <t>Jacqueline</t>
        </is>
      </c>
      <c r="G228" s="87" t="inlineStr">
        <is>
          <t>F</t>
        </is>
      </c>
      <c r="H228" s="90" t="n"/>
      <c r="I228" s="87" t="n"/>
      <c r="J228" s="87" t="inlineStr">
        <is>
          <t>Pendente</t>
        </is>
      </c>
      <c r="K228" s="60" t="n">
        <v>46095</v>
      </c>
      <c r="L228" s="87">
        <f>TEXT(A228,"mmmm")</f>
        <v/>
      </c>
    </row>
    <row r="229" ht="15" customHeight="1" s="83">
      <c r="A229" s="60" t="n">
        <v>46086</v>
      </c>
      <c r="B229" s="14" t="n">
        <v>46089</v>
      </c>
      <c r="C229" s="14" t="n">
        <v>46092</v>
      </c>
      <c r="D229" s="87" t="inlineStr">
        <is>
          <t>ELIANE DOS SANTOS MARIOLLA</t>
        </is>
      </c>
      <c r="E229" s="87" t="inlineStr">
        <is>
          <t>Mapfre</t>
        </is>
      </c>
      <c r="F229" s="87" t="inlineStr">
        <is>
          <t>Jacqueline</t>
        </is>
      </c>
      <c r="G229" s="87" t="inlineStr">
        <is>
          <t>F</t>
        </is>
      </c>
      <c r="H229" s="90" t="n"/>
      <c r="I229" s="87" t="n"/>
      <c r="J229" s="87" t="inlineStr">
        <is>
          <t>Pendente</t>
        </is>
      </c>
      <c r="K229" s="60" t="n">
        <v>46095</v>
      </c>
      <c r="L229" s="87">
        <f>TEXT(A229,"mmmm")</f>
        <v/>
      </c>
    </row>
    <row r="230" ht="15" customHeight="1" s="83">
      <c r="A230" s="60" t="n">
        <v>46086</v>
      </c>
      <c r="B230" s="14" t="n">
        <v>46089</v>
      </c>
      <c r="C230" s="14" t="n">
        <v>46092</v>
      </c>
      <c r="D230" s="87" t="inlineStr">
        <is>
          <t>LUCAS REJANIO ALVES DE MENEZES</t>
        </is>
      </c>
      <c r="E230" s="87" t="inlineStr">
        <is>
          <t>Tokio</t>
        </is>
      </c>
      <c r="F230" s="87" t="inlineStr">
        <is>
          <t>John</t>
        </is>
      </c>
      <c r="G230" s="87" t="inlineStr">
        <is>
          <t>M</t>
        </is>
      </c>
      <c r="H230" s="90" t="n"/>
      <c r="I230" s="87" t="n"/>
      <c r="J230" s="87" t="inlineStr">
        <is>
          <t>Pendente</t>
        </is>
      </c>
      <c r="K230" s="60" t="n">
        <v>46095</v>
      </c>
      <c r="L230" s="87">
        <f>TEXT(A230,"mmmm")</f>
        <v/>
      </c>
    </row>
    <row r="231" ht="15" customHeight="1" s="83">
      <c r="A231" s="60" t="n">
        <v>46086</v>
      </c>
      <c r="B231" s="14" t="n">
        <v>46089</v>
      </c>
      <c r="C231" s="14" t="n">
        <v>46092</v>
      </c>
      <c r="D231" s="87" t="inlineStr">
        <is>
          <t>ANA CAROLINA LUJZA DE MOURA PRAGER</t>
        </is>
      </c>
      <c r="E231" s="87" t="inlineStr">
        <is>
          <t>Porto</t>
        </is>
      </c>
      <c r="F231" s="87" t="inlineStr">
        <is>
          <t>John</t>
        </is>
      </c>
      <c r="G231" s="87" t="inlineStr">
        <is>
          <t>M</t>
        </is>
      </c>
      <c r="H231" s="90" t="n"/>
      <c r="I231" s="87" t="n"/>
      <c r="J231" s="87" t="inlineStr">
        <is>
          <t>Pendente</t>
        </is>
      </c>
      <c r="K231" s="60" t="n">
        <v>46095</v>
      </c>
      <c r="L231" s="87">
        <f>TEXT(A231,"mmmm")</f>
        <v/>
      </c>
    </row>
    <row r="232" ht="15" customHeight="1" s="83">
      <c r="A232" s="60" t="n">
        <v>46086</v>
      </c>
      <c r="B232" s="14" t="n">
        <v>46089</v>
      </c>
      <c r="C232" s="14" t="n">
        <v>46092</v>
      </c>
      <c r="D232" s="87" t="inlineStr">
        <is>
          <t>ANA CAROLINA LUJZA DE MOURA PRAGER</t>
        </is>
      </c>
      <c r="E232" s="87" t="inlineStr">
        <is>
          <t>Azul</t>
        </is>
      </c>
      <c r="F232" s="87" t="inlineStr">
        <is>
          <t>John</t>
        </is>
      </c>
      <c r="G232" s="87" t="inlineStr">
        <is>
          <t>M</t>
        </is>
      </c>
      <c r="H232" s="90" t="n"/>
      <c r="I232" s="87" t="n"/>
      <c r="J232" s="87" t="inlineStr">
        <is>
          <t>Pendente</t>
        </is>
      </c>
      <c r="K232" s="60" t="n">
        <v>46095</v>
      </c>
      <c r="L232" s="87">
        <f>TEXT(A232,"mmmm")</f>
        <v/>
      </c>
    </row>
    <row r="233" ht="15" customHeight="1" s="83">
      <c r="A233" s="60" t="n">
        <v>46086</v>
      </c>
      <c r="B233" s="14" t="n">
        <v>46089</v>
      </c>
      <c r="C233" s="14" t="n">
        <v>46092</v>
      </c>
      <c r="D233" s="87" t="inlineStr">
        <is>
          <t>CAIQUE SPEZZANO DA SILVA</t>
        </is>
      </c>
      <c r="E233" s="87" t="inlineStr">
        <is>
          <t>Suhai</t>
        </is>
      </c>
      <c r="F233" s="87" t="inlineStr">
        <is>
          <t>John</t>
        </is>
      </c>
      <c r="G233" s="87" t="inlineStr">
        <is>
          <t>M</t>
        </is>
      </c>
      <c r="H233" s="90" t="n"/>
      <c r="I233" s="87" t="n"/>
      <c r="J233" s="87" t="inlineStr">
        <is>
          <t>Pendente</t>
        </is>
      </c>
      <c r="K233" s="60" t="n">
        <v>46095</v>
      </c>
      <c r="L233" s="87">
        <f>TEXT(A233,"mmmm")</f>
        <v/>
      </c>
    </row>
    <row r="234" ht="15" customHeight="1" s="83">
      <c r="A234" s="60" t="n">
        <v>46086</v>
      </c>
      <c r="B234" s="14" t="n">
        <v>46089</v>
      </c>
      <c r="C234" s="14" t="n">
        <v>46092</v>
      </c>
      <c r="D234" s="87" t="inlineStr">
        <is>
          <t>DAYANE OLIVEIRA GRILO DORNELAS</t>
        </is>
      </c>
      <c r="E234" s="87" t="inlineStr">
        <is>
          <t>Tokio</t>
        </is>
      </c>
      <c r="F234" s="87" t="inlineStr">
        <is>
          <t>John</t>
        </is>
      </c>
      <c r="G234" s="87" t="inlineStr">
        <is>
          <t>M</t>
        </is>
      </c>
      <c r="H234" s="90" t="n"/>
      <c r="I234" s="87" t="n"/>
      <c r="J234" s="87" t="inlineStr">
        <is>
          <t>Pendente</t>
        </is>
      </c>
      <c r="K234" s="60" t="n">
        <v>46095</v>
      </c>
      <c r="L234" s="87">
        <f>TEXT(A234,"mmmm")</f>
        <v/>
      </c>
    </row>
    <row r="235" ht="15" customHeight="1" s="83">
      <c r="A235" s="60" t="n">
        <v>46086</v>
      </c>
      <c r="B235" s="14" t="n">
        <v>46089</v>
      </c>
      <c r="C235" s="14" t="n">
        <v>46092</v>
      </c>
      <c r="D235" s="87" t="inlineStr">
        <is>
          <t>SIDNEI LOPES DA SILVA</t>
        </is>
      </c>
      <c r="E235" s="87" t="inlineStr">
        <is>
          <t>Porto</t>
        </is>
      </c>
      <c r="F235" s="87" t="inlineStr">
        <is>
          <t>John</t>
        </is>
      </c>
      <c r="G235" s="87" t="inlineStr">
        <is>
          <t>M</t>
        </is>
      </c>
      <c r="H235" s="90" t="n"/>
      <c r="I235" s="87" t="n"/>
      <c r="J235" s="87" t="inlineStr">
        <is>
          <t>Pendente</t>
        </is>
      </c>
      <c r="K235" s="60" t="n">
        <v>46095</v>
      </c>
      <c r="L235" s="87">
        <f>TEXT(A235,"mmmm")</f>
        <v/>
      </c>
    </row>
    <row r="236" ht="15" customHeight="1" s="83">
      <c r="A236" s="60" t="n">
        <v>46086</v>
      </c>
      <c r="B236" s="14" t="n">
        <v>46089</v>
      </c>
      <c r="C236" s="14" t="n">
        <v>46092</v>
      </c>
      <c r="D236" s="87" t="inlineStr">
        <is>
          <t>VALTERIO REIS OLIVEIRA MIRANDA</t>
        </is>
      </c>
      <c r="E236" s="87" t="inlineStr">
        <is>
          <t>Azul</t>
        </is>
      </c>
      <c r="F236" s="87" t="inlineStr">
        <is>
          <t>Myrelle</t>
        </is>
      </c>
      <c r="G236" s="87" t="inlineStr">
        <is>
          <t>F</t>
        </is>
      </c>
      <c r="H236" s="90" t="n"/>
      <c r="I236" s="87" t="n"/>
      <c r="J236" s="87" t="inlineStr">
        <is>
          <t>Pendente</t>
        </is>
      </c>
      <c r="K236" s="60" t="n">
        <v>46095</v>
      </c>
      <c r="L236" s="87">
        <f>TEXT(A236,"mmmm")</f>
        <v/>
      </c>
    </row>
    <row r="237" ht="15" customHeight="1" s="83">
      <c r="A237" s="60" t="n">
        <v>46086</v>
      </c>
      <c r="B237" s="14" t="n">
        <v>46089</v>
      </c>
      <c r="C237" s="14" t="n">
        <v>46092</v>
      </c>
      <c r="D237" s="87" t="inlineStr">
        <is>
          <t>LEANDRO GODINHO</t>
        </is>
      </c>
      <c r="E237" s="87" t="inlineStr">
        <is>
          <t>Itaú</t>
        </is>
      </c>
      <c r="F237" s="87" t="inlineStr">
        <is>
          <t>John</t>
        </is>
      </c>
      <c r="G237" s="87" t="inlineStr">
        <is>
          <t>M</t>
        </is>
      </c>
      <c r="H237" s="90" t="n"/>
      <c r="I237" s="87" t="n"/>
      <c r="J237" s="87" t="inlineStr">
        <is>
          <t>Pendente</t>
        </is>
      </c>
      <c r="K237" s="60" t="n">
        <v>46095</v>
      </c>
      <c r="L237" s="87">
        <f>TEXT(A237,"mmmm")</f>
        <v/>
      </c>
    </row>
    <row r="238" ht="15" customHeight="1" s="83">
      <c r="A238" s="60" t="n">
        <v>46086</v>
      </c>
      <c r="B238" s="14" t="n">
        <v>46089</v>
      </c>
      <c r="C238" s="14" t="n">
        <v>46092</v>
      </c>
      <c r="D238" s="87" t="inlineStr">
        <is>
          <t>SOLANDIA BATISTA BRAZ</t>
        </is>
      </c>
      <c r="E238" s="87" t="inlineStr">
        <is>
          <t>Suhai</t>
        </is>
      </c>
      <c r="F238" s="87" t="inlineStr">
        <is>
          <t>Enzo</t>
        </is>
      </c>
      <c r="G238" s="87" t="inlineStr">
        <is>
          <t>M</t>
        </is>
      </c>
      <c r="H238" s="90" t="n"/>
      <c r="I238" s="87" t="n"/>
      <c r="J238" s="87" t="inlineStr">
        <is>
          <t>Pendente</t>
        </is>
      </c>
      <c r="K238" s="60" t="n">
        <v>46095</v>
      </c>
      <c r="L238" s="87">
        <f>TEXT(A238,"mmmm")</f>
        <v/>
      </c>
    </row>
    <row r="239">
      <c r="A239" s="60" t="n">
        <v>46086</v>
      </c>
      <c r="B239" s="14" t="n">
        <v>46089</v>
      </c>
      <c r="C239" s="14" t="n">
        <v>46092</v>
      </c>
      <c r="D239" s="87" t="inlineStr">
        <is>
          <t>SOLANDIA BATISTA BRAZ</t>
        </is>
      </c>
      <c r="E239" s="87" t="inlineStr">
        <is>
          <t>Azul</t>
        </is>
      </c>
      <c r="F239" s="87" t="inlineStr">
        <is>
          <t>Enzo</t>
        </is>
      </c>
      <c r="G239" s="87" t="inlineStr">
        <is>
          <t>M</t>
        </is>
      </c>
      <c r="H239" s="90" t="n"/>
      <c r="I239" s="87" t="n"/>
      <c r="J239" s="87" t="inlineStr">
        <is>
          <t>Pendente</t>
        </is>
      </c>
      <c r="K239" s="60" t="n">
        <v>46095</v>
      </c>
      <c r="L239" s="87">
        <f>TEXT(A239,"mmmm")</f>
        <v/>
      </c>
    </row>
    <row r="240">
      <c r="A240" s="60" t="n">
        <v>46086</v>
      </c>
      <c r="B240" s="14" t="n">
        <v>46089</v>
      </c>
      <c r="C240" s="14" t="n">
        <v>46092</v>
      </c>
      <c r="D240" s="87" t="inlineStr">
        <is>
          <t>EVELAINE MARTINEZ CERQUEIRA</t>
        </is>
      </c>
      <c r="E240" s="87" t="inlineStr">
        <is>
          <t>Mapfre</t>
        </is>
      </c>
      <c r="F240" s="87" t="inlineStr">
        <is>
          <t>Myrelle</t>
        </is>
      </c>
      <c r="G240" s="87" t="inlineStr">
        <is>
          <t>F</t>
        </is>
      </c>
      <c r="H240" s="90" t="n"/>
      <c r="I240" s="87" t="n"/>
      <c r="J240" s="87" t="inlineStr">
        <is>
          <t>Pendente</t>
        </is>
      </c>
      <c r="K240" s="60" t="n">
        <v>46095</v>
      </c>
      <c r="L240" s="87">
        <f>TEXT(A240,"mmmm")</f>
        <v/>
      </c>
    </row>
    <row r="241">
      <c r="A241" s="60" t="n">
        <v>46086</v>
      </c>
      <c r="B241" s="14" t="n">
        <v>46089</v>
      </c>
      <c r="C241" s="14" t="n">
        <v>46092</v>
      </c>
      <c r="D241" s="87" t="inlineStr">
        <is>
          <t>EVELAINE MARTINEZ CERQUEIRA</t>
        </is>
      </c>
      <c r="E241" s="87" t="inlineStr">
        <is>
          <t>Mapfre</t>
        </is>
      </c>
      <c r="F241" s="87" t="inlineStr">
        <is>
          <t>Myrelle</t>
        </is>
      </c>
      <c r="G241" s="87" t="inlineStr">
        <is>
          <t>F</t>
        </is>
      </c>
      <c r="H241" s="90" t="n"/>
      <c r="I241" s="87" t="n"/>
      <c r="J241" s="87" t="inlineStr">
        <is>
          <t>Pendente</t>
        </is>
      </c>
      <c r="K241" s="60" t="n">
        <v>46095</v>
      </c>
      <c r="L241" s="87">
        <f>TEXT(A241,"mmmm")</f>
        <v/>
      </c>
    </row>
    <row r="242">
      <c r="A242" s="60" t="n">
        <v>46086</v>
      </c>
      <c r="B242" s="14" t="n">
        <v>46089</v>
      </c>
      <c r="C242" s="14" t="n">
        <v>46092</v>
      </c>
      <c r="D242" s="87" t="inlineStr">
        <is>
          <t>VALTERIO REIS OLIVEIRA MIRANDA</t>
        </is>
      </c>
      <c r="E242" s="87" t="inlineStr">
        <is>
          <t>Azul</t>
        </is>
      </c>
      <c r="F242" s="87" t="inlineStr">
        <is>
          <t>Myrelle</t>
        </is>
      </c>
      <c r="G242" s="87" t="inlineStr">
        <is>
          <t>F</t>
        </is>
      </c>
      <c r="H242" s="90" t="n"/>
      <c r="I242" s="87" t="n"/>
      <c r="J242" s="87" t="inlineStr">
        <is>
          <t>Pendente</t>
        </is>
      </c>
      <c r="K242" s="60" t="n">
        <v>46095</v>
      </c>
      <c r="L242" s="87">
        <f>TEXT(A242,"mmmm")</f>
        <v/>
      </c>
    </row>
    <row r="243">
      <c r="A243" s="60" t="n">
        <v>46087</v>
      </c>
      <c r="B243" s="14" t="n">
        <v>46090</v>
      </c>
      <c r="C243" s="14" t="n">
        <v>46093</v>
      </c>
      <c r="D243" s="87" t="inlineStr">
        <is>
          <t>DONIZETE BANDARIQUE</t>
        </is>
      </c>
      <c r="E243" s="87" t="inlineStr">
        <is>
          <t>Azul</t>
        </is>
      </c>
      <c r="F243" s="87" t="inlineStr">
        <is>
          <t>Jacqueline</t>
        </is>
      </c>
      <c r="G243" s="87" t="inlineStr">
        <is>
          <t>F</t>
        </is>
      </c>
      <c r="H243" s="90" t="n"/>
      <c r="I243" s="87" t="n"/>
      <c r="J243" s="87" t="inlineStr">
        <is>
          <t>Pendente</t>
        </is>
      </c>
      <c r="K243" s="60" t="n">
        <v>46096</v>
      </c>
      <c r="L243" s="87">
        <f>TEXT(A243,"mmmm")</f>
        <v/>
      </c>
    </row>
    <row r="244">
      <c r="A244" s="60" t="n">
        <v>46087</v>
      </c>
      <c r="B244" s="14" t="n">
        <v>46090</v>
      </c>
      <c r="C244" s="14" t="n">
        <v>46093</v>
      </c>
      <c r="D244" s="87" t="inlineStr">
        <is>
          <t>PAULO JOSE NASCIMENTO</t>
        </is>
      </c>
      <c r="E244" s="87" t="inlineStr">
        <is>
          <t>Azul</t>
        </is>
      </c>
      <c r="F244" s="87" t="inlineStr">
        <is>
          <t>Leticia</t>
        </is>
      </c>
      <c r="G244" s="87" t="inlineStr">
        <is>
          <t>F</t>
        </is>
      </c>
      <c r="H244" s="90" t="n"/>
      <c r="I244" s="87" t="n"/>
      <c r="J244" s="87" t="inlineStr">
        <is>
          <t>Pendente</t>
        </is>
      </c>
      <c r="K244" s="60" t="n">
        <v>46096</v>
      </c>
      <c r="L244" s="87">
        <f>TEXT(A244,"mmmm")</f>
        <v/>
      </c>
    </row>
    <row r="245">
      <c r="A245" s="60" t="n">
        <v>46087</v>
      </c>
      <c r="B245" s="14" t="n">
        <v>46090</v>
      </c>
      <c r="C245" s="14" t="n">
        <v>46093</v>
      </c>
      <c r="D245" s="87" t="inlineStr">
        <is>
          <t>EVERTTON MELLANYO CAITANO DA SILVA</t>
        </is>
      </c>
      <c r="E245" s="87" t="inlineStr">
        <is>
          <t>Azul</t>
        </is>
      </c>
      <c r="F245" s="87" t="inlineStr">
        <is>
          <t>John</t>
        </is>
      </c>
      <c r="G245" s="87" t="inlineStr">
        <is>
          <t>M</t>
        </is>
      </c>
      <c r="H245" s="90" t="n"/>
      <c r="I245" s="87" t="n"/>
      <c r="J245" s="87" t="inlineStr">
        <is>
          <t>Pendente</t>
        </is>
      </c>
      <c r="K245" s="60" t="n">
        <v>46096</v>
      </c>
      <c r="L245" s="87">
        <f>TEXT(A245,"mmmm")</f>
        <v/>
      </c>
    </row>
    <row r="246">
      <c r="A246" s="60" t="n">
        <v>46087</v>
      </c>
      <c r="B246" s="14" t="n">
        <v>46090</v>
      </c>
      <c r="C246" s="14" t="n">
        <v>46093</v>
      </c>
      <c r="D246" s="87" t="inlineStr">
        <is>
          <t>NATALICIO SOARES CAMPOS</t>
        </is>
      </c>
      <c r="E246" s="87" t="inlineStr">
        <is>
          <t>Mapfre</t>
        </is>
      </c>
      <c r="F246" s="87" t="inlineStr">
        <is>
          <t>Myrelle</t>
        </is>
      </c>
      <c r="G246" s="87" t="inlineStr">
        <is>
          <t>F</t>
        </is>
      </c>
      <c r="H246" s="90" t="n"/>
      <c r="I246" s="87" t="n"/>
      <c r="J246" s="87" t="inlineStr">
        <is>
          <t>Pendente</t>
        </is>
      </c>
      <c r="K246" s="60" t="n">
        <v>46096</v>
      </c>
      <c r="L246" s="87">
        <f>TEXT(A246,"mmmm")</f>
        <v/>
      </c>
    </row>
    <row r="247">
      <c r="A247" s="60" t="n">
        <v>46087</v>
      </c>
      <c r="B247" s="14" t="n">
        <v>46090</v>
      </c>
      <c r="C247" s="14" t="n">
        <v>46093</v>
      </c>
      <c r="D247" s="87" t="inlineStr">
        <is>
          <t>CLAUDINEI DA SILVA</t>
        </is>
      </c>
      <c r="E247" s="87" t="inlineStr">
        <is>
          <t>Tokio</t>
        </is>
      </c>
      <c r="F247" s="87" t="inlineStr">
        <is>
          <t>Myrelle</t>
        </is>
      </c>
      <c r="G247" s="87" t="inlineStr">
        <is>
          <t>F</t>
        </is>
      </c>
      <c r="H247" s="90" t="n"/>
      <c r="I247" s="87" t="n"/>
      <c r="J247" s="87" t="inlineStr">
        <is>
          <t>Pendente</t>
        </is>
      </c>
      <c r="K247" s="60" t="n">
        <v>46096</v>
      </c>
      <c r="L247" s="87">
        <f>TEXT(A247,"mmmm")</f>
        <v/>
      </c>
    </row>
    <row r="248">
      <c r="A248" s="60" t="n">
        <v>46087</v>
      </c>
      <c r="B248" s="14" t="n">
        <v>46090</v>
      </c>
      <c r="C248" s="14" t="n">
        <v>46093</v>
      </c>
      <c r="D248" s="87" t="inlineStr">
        <is>
          <t>JOCIMAR PEDRO DA SILVA</t>
        </is>
      </c>
      <c r="E248" s="87" t="inlineStr">
        <is>
          <t>Suhai</t>
        </is>
      </c>
      <c r="F248" s="87" t="inlineStr">
        <is>
          <t>John</t>
        </is>
      </c>
      <c r="G248" s="87" t="inlineStr">
        <is>
          <t>M</t>
        </is>
      </c>
      <c r="H248" s="90" t="n"/>
      <c r="I248" s="87" t="n"/>
      <c r="J248" s="87" t="inlineStr">
        <is>
          <t>Pendente</t>
        </is>
      </c>
      <c r="K248" s="60" t="n">
        <v>46096</v>
      </c>
      <c r="L248" s="87">
        <f>TEXT(A248,"mmmm")</f>
        <v/>
      </c>
    </row>
    <row r="249">
      <c r="A249" s="60" t="n">
        <v>46087</v>
      </c>
      <c r="B249" s="14" t="n">
        <v>46090</v>
      </c>
      <c r="C249" s="14" t="n">
        <v>46093</v>
      </c>
      <c r="D249" s="87" t="inlineStr">
        <is>
          <t>NEUZA BARBOSA RIBEIRO</t>
        </is>
      </c>
      <c r="E249" s="87" t="inlineStr">
        <is>
          <t>Tokio</t>
        </is>
      </c>
      <c r="F249" s="87" t="inlineStr">
        <is>
          <t>Isabella</t>
        </is>
      </c>
      <c r="G249" s="87" t="inlineStr">
        <is>
          <t>F</t>
        </is>
      </c>
      <c r="H249" s="90" t="n"/>
      <c r="I249" s="87" t="n"/>
      <c r="J249" s="87" t="inlineStr">
        <is>
          <t>Pendente</t>
        </is>
      </c>
      <c r="K249" s="60" t="n">
        <v>46096</v>
      </c>
      <c r="L249" s="87">
        <f>TEXT(A249,"mmmm")</f>
        <v/>
      </c>
    </row>
    <row r="250">
      <c r="A250" s="60" t="n">
        <v>46087</v>
      </c>
      <c r="B250" s="14" t="n">
        <v>46090</v>
      </c>
      <c r="C250" s="14" t="n">
        <v>46093</v>
      </c>
      <c r="D250" s="87" t="inlineStr">
        <is>
          <t>DENILSON LOPES VISGUEIRA</t>
        </is>
      </c>
      <c r="E250" s="87" t="inlineStr">
        <is>
          <t>Suhai</t>
        </is>
      </c>
      <c r="F250" s="87" t="inlineStr">
        <is>
          <t>Isabella</t>
        </is>
      </c>
      <c r="G250" s="87" t="inlineStr">
        <is>
          <t>F</t>
        </is>
      </c>
      <c r="H250" s="90" t="n"/>
      <c r="I250" s="87" t="n"/>
      <c r="J250" s="87" t="inlineStr">
        <is>
          <t>Pendente</t>
        </is>
      </c>
      <c r="K250" s="60" t="n">
        <v>46096</v>
      </c>
      <c r="L250" s="87">
        <f>TEXT(A250,"mmmm")</f>
        <v/>
      </c>
    </row>
    <row r="251">
      <c r="A251" s="60" t="n">
        <v>46087</v>
      </c>
      <c r="B251" s="14" t="n">
        <v>46090</v>
      </c>
      <c r="C251" s="14" t="n">
        <v>46093</v>
      </c>
      <c r="D251" s="87" t="inlineStr">
        <is>
          <t>KAUAN SILVA DE AQUINO</t>
        </is>
      </c>
      <c r="E251" s="87" t="inlineStr">
        <is>
          <t>Suhai</t>
        </is>
      </c>
      <c r="F251" s="87" t="inlineStr">
        <is>
          <t>Isabella</t>
        </is>
      </c>
      <c r="G251" s="87" t="inlineStr">
        <is>
          <t>F</t>
        </is>
      </c>
      <c r="H251" s="90" t="n"/>
      <c r="I251" s="87" t="n"/>
      <c r="J251" s="87" t="inlineStr">
        <is>
          <t>Pendente</t>
        </is>
      </c>
      <c r="K251" s="60" t="n">
        <v>46096</v>
      </c>
      <c r="L251" s="87">
        <f>TEXT(A251,"mmmm")</f>
        <v/>
      </c>
    </row>
    <row r="252">
      <c r="A252" s="60" t="n">
        <v>46087</v>
      </c>
      <c r="B252" s="14" t="n">
        <v>46090</v>
      </c>
      <c r="C252" s="14" t="n">
        <v>46093</v>
      </c>
      <c r="D252" s="87" t="inlineStr">
        <is>
          <t>JOAO LEITE DE ARAUJO</t>
        </is>
      </c>
      <c r="E252" s="87" t="inlineStr">
        <is>
          <t>Azul</t>
        </is>
      </c>
      <c r="F252" s="87" t="inlineStr">
        <is>
          <t>Isabella</t>
        </is>
      </c>
      <c r="G252" s="87" t="inlineStr">
        <is>
          <t>F</t>
        </is>
      </c>
      <c r="H252" s="90" t="n"/>
      <c r="I252" s="87" t="n"/>
      <c r="J252" s="87" t="inlineStr">
        <is>
          <t>Pendente</t>
        </is>
      </c>
      <c r="K252" s="60" t="n">
        <v>46096</v>
      </c>
      <c r="L252" s="87">
        <f>TEXT(A252,"mmmm")</f>
        <v/>
      </c>
    </row>
    <row r="253">
      <c r="A253" s="60" t="n">
        <v>46087</v>
      </c>
      <c r="B253" s="14" t="n">
        <v>46090</v>
      </c>
      <c r="C253" s="14" t="n">
        <v>46093</v>
      </c>
      <c r="D253" s="87" t="inlineStr">
        <is>
          <t>JANDERSON MACEDO LOPES</t>
        </is>
      </c>
      <c r="E253" s="87" t="inlineStr">
        <is>
          <t>Tokio</t>
        </is>
      </c>
      <c r="F253" s="87" t="inlineStr">
        <is>
          <t>Leticia</t>
        </is>
      </c>
      <c r="G253" s="87" t="inlineStr">
        <is>
          <t>F</t>
        </is>
      </c>
      <c r="H253" s="90" t="n"/>
      <c r="I253" s="87" t="n"/>
      <c r="J253" s="87" t="inlineStr">
        <is>
          <t>Pendente</t>
        </is>
      </c>
      <c r="K253" s="60" t="n">
        <v>46096</v>
      </c>
      <c r="L253" s="87">
        <f>TEXT(A253,"mmmm")</f>
        <v/>
      </c>
    </row>
    <row r="254">
      <c r="A254" s="60" t="n">
        <v>46087</v>
      </c>
      <c r="B254" s="14" t="n">
        <v>46090</v>
      </c>
      <c r="C254" s="14" t="n">
        <v>46093</v>
      </c>
      <c r="D254" s="87" t="inlineStr">
        <is>
          <t>FLAVIANA MARQUES ALENCAR</t>
        </is>
      </c>
      <c r="E254" s="87" t="inlineStr">
        <is>
          <t>Azul</t>
        </is>
      </c>
      <c r="F254" s="87" t="inlineStr">
        <is>
          <t>Jacqueline</t>
        </is>
      </c>
      <c r="G254" s="87" t="inlineStr">
        <is>
          <t>F</t>
        </is>
      </c>
      <c r="H254" s="90" t="n"/>
      <c r="I254" s="87" t="n"/>
      <c r="J254" s="87" t="inlineStr">
        <is>
          <t>Pendente</t>
        </is>
      </c>
      <c r="K254" s="60" t="n">
        <v>46096</v>
      </c>
      <c r="L254" s="87">
        <f>TEXT(A254,"mmmm")</f>
        <v/>
      </c>
    </row>
    <row r="255">
      <c r="A255" s="60" t="n">
        <v>46090</v>
      </c>
      <c r="B255" s="60" t="n">
        <v>46093</v>
      </c>
      <c r="C255" s="60" t="n">
        <v>46096</v>
      </c>
      <c r="D255" s="87" t="inlineStr">
        <is>
          <t>EDUARDO DAVOGLIO BARBOSA</t>
        </is>
      </c>
      <c r="E255" s="87" t="inlineStr">
        <is>
          <t>Suhai</t>
        </is>
      </c>
      <c r="F255" s="87" t="inlineStr">
        <is>
          <t>John</t>
        </is>
      </c>
      <c r="G255" s="87" t="inlineStr">
        <is>
          <t>M</t>
        </is>
      </c>
      <c r="H255" s="80" t="n"/>
      <c r="I255" s="87" t="n"/>
      <c r="J255" s="87" t="inlineStr">
        <is>
          <t>Pendente</t>
        </is>
      </c>
      <c r="K255" s="60" t="n">
        <v>46099</v>
      </c>
      <c r="L255" s="87">
        <f>TEXT(A255,"mmmm")</f>
        <v/>
      </c>
    </row>
    <row r="256">
      <c r="A256" s="60" t="n">
        <v>46090</v>
      </c>
      <c r="B256" s="60" t="n">
        <v>46093</v>
      </c>
      <c r="C256" s="60" t="n">
        <v>46096</v>
      </c>
      <c r="D256" s="87" t="inlineStr">
        <is>
          <t>ANNA KAROLINE DA SILVA PORTELA</t>
        </is>
      </c>
      <c r="E256" s="87" t="inlineStr">
        <is>
          <t>Azul</t>
        </is>
      </c>
      <c r="F256" s="87" t="inlineStr">
        <is>
          <t>John</t>
        </is>
      </c>
      <c r="G256" s="87" t="inlineStr">
        <is>
          <t>M</t>
        </is>
      </c>
      <c r="H256" s="80" t="n"/>
      <c r="I256" s="87" t="n"/>
      <c r="J256" s="87" t="inlineStr">
        <is>
          <t>Pendente</t>
        </is>
      </c>
      <c r="K256" s="60" t="n">
        <v>46099</v>
      </c>
      <c r="L256" s="87">
        <f>TEXT(A256,"mmmm")</f>
        <v/>
      </c>
    </row>
    <row r="257">
      <c r="A257" s="60" t="n">
        <v>46090</v>
      </c>
      <c r="B257" s="60" t="n">
        <v>46093</v>
      </c>
      <c r="C257" s="60" t="n">
        <v>46096</v>
      </c>
      <c r="D257" s="87" t="inlineStr">
        <is>
          <t>ANDERSON GONELIS LOPES</t>
        </is>
      </c>
      <c r="E257" s="87" t="inlineStr">
        <is>
          <t>Suhai</t>
        </is>
      </c>
      <c r="F257" s="87" t="inlineStr">
        <is>
          <t>John</t>
        </is>
      </c>
      <c r="G257" s="87" t="inlineStr">
        <is>
          <t>M</t>
        </is>
      </c>
      <c r="H257" s="80" t="n"/>
      <c r="I257" s="87" t="n"/>
      <c r="J257" s="87" t="inlineStr">
        <is>
          <t>Pendente</t>
        </is>
      </c>
      <c r="K257" s="60" t="n">
        <v>46099</v>
      </c>
      <c r="L257" s="87">
        <f>TEXT(A257,"mmmm")</f>
        <v/>
      </c>
    </row>
    <row r="258">
      <c r="A258" s="60" t="n">
        <v>46090</v>
      </c>
      <c r="B258" s="60" t="n">
        <v>46093</v>
      </c>
      <c r="C258" s="60" t="n">
        <v>46096</v>
      </c>
      <c r="D258" s="87" t="inlineStr">
        <is>
          <t>DIEGO CARLOS VALENTIM</t>
        </is>
      </c>
      <c r="E258" s="87" t="inlineStr">
        <is>
          <t>Suhai</t>
        </is>
      </c>
      <c r="F258" s="87" t="inlineStr">
        <is>
          <t>Isabella</t>
        </is>
      </c>
      <c r="G258" s="87" t="inlineStr">
        <is>
          <t>F</t>
        </is>
      </c>
      <c r="H258" s="80" t="n"/>
      <c r="I258" s="87" t="n"/>
      <c r="J258" s="87" t="inlineStr">
        <is>
          <t>Pendente</t>
        </is>
      </c>
      <c r="K258" s="60" t="n">
        <v>46099</v>
      </c>
      <c r="L258" s="87">
        <f>TEXT(A258,"mmmm")</f>
        <v/>
      </c>
    </row>
    <row r="259">
      <c r="A259" s="60" t="n">
        <v>46090</v>
      </c>
      <c r="B259" s="60" t="n">
        <v>46093</v>
      </c>
      <c r="C259" s="60" t="n">
        <v>46096</v>
      </c>
      <c r="D259" s="87" t="inlineStr">
        <is>
          <t>VERAILTON OLIVEIRA LOPES</t>
        </is>
      </c>
      <c r="E259" s="87" t="inlineStr">
        <is>
          <t>Azul</t>
        </is>
      </c>
      <c r="F259" s="87" t="inlineStr">
        <is>
          <t>Jéssica</t>
        </is>
      </c>
      <c r="G259" s="87" t="inlineStr">
        <is>
          <t>F</t>
        </is>
      </c>
      <c r="H259" s="80" t="n"/>
      <c r="I259" s="87" t="n"/>
      <c r="J259" s="87" t="inlineStr">
        <is>
          <t>Pendente</t>
        </is>
      </c>
      <c r="K259" s="60" t="n">
        <v>46099</v>
      </c>
      <c r="L259" s="87">
        <f>TEXT(A259,"mmmm")</f>
        <v/>
      </c>
    </row>
    <row r="260">
      <c r="A260" s="60" t="n">
        <v>46090</v>
      </c>
      <c r="B260" s="60" t="n">
        <v>46093</v>
      </c>
      <c r="C260" s="60" t="n">
        <v>46096</v>
      </c>
      <c r="D260" s="87" t="inlineStr">
        <is>
          <t>KASSIO RICARDO CAVALCANTE GONZAGA</t>
        </is>
      </c>
      <c r="E260" s="87" t="inlineStr">
        <is>
          <t>Azul</t>
        </is>
      </c>
      <c r="F260" s="87" t="inlineStr">
        <is>
          <t>Jéssica</t>
        </is>
      </c>
      <c r="G260" s="87" t="inlineStr">
        <is>
          <t>F</t>
        </is>
      </c>
      <c r="H260" s="80" t="n"/>
      <c r="I260" s="87" t="n"/>
      <c r="J260" s="87" t="inlineStr">
        <is>
          <t>Pendente</t>
        </is>
      </c>
      <c r="K260" s="60" t="n">
        <v>46099</v>
      </c>
      <c r="L260" s="87">
        <f>TEXT(A260,"mmmm")</f>
        <v/>
      </c>
    </row>
    <row r="261">
      <c r="A261" s="60" t="n">
        <v>46090</v>
      </c>
      <c r="B261" s="60" t="n">
        <v>46093</v>
      </c>
      <c r="C261" s="60" t="n">
        <v>46096</v>
      </c>
      <c r="D261" s="87" t="inlineStr">
        <is>
          <t>ANTONIO VAZ DE CARVALHO</t>
        </is>
      </c>
      <c r="E261" s="87" t="inlineStr">
        <is>
          <t>Azul</t>
        </is>
      </c>
      <c r="F261" s="87" t="inlineStr">
        <is>
          <t>Jacqueline</t>
        </is>
      </c>
      <c r="G261" s="87" t="inlineStr">
        <is>
          <t>F</t>
        </is>
      </c>
      <c r="H261" s="80" t="n"/>
      <c r="I261" s="87" t="n"/>
      <c r="J261" s="87" t="inlineStr">
        <is>
          <t>Pendente</t>
        </is>
      </c>
      <c r="K261" s="60" t="n">
        <v>46099</v>
      </c>
      <c r="L261" s="87">
        <f>TEXT(A261,"mmmm")</f>
        <v/>
      </c>
    </row>
    <row r="262">
      <c r="A262" s="60" t="n">
        <v>46090</v>
      </c>
      <c r="B262" s="60" t="n">
        <v>46093</v>
      </c>
      <c r="C262" s="60" t="n">
        <v>46096</v>
      </c>
      <c r="D262" s="87" t="inlineStr">
        <is>
          <t>EDVALDO BATISTA DOS SANTOS</t>
        </is>
      </c>
      <c r="E262" s="87" t="inlineStr">
        <is>
          <t>Mapfre</t>
        </is>
      </c>
      <c r="F262" s="87" t="inlineStr">
        <is>
          <t>Enzo</t>
        </is>
      </c>
      <c r="G262" s="87" t="inlineStr">
        <is>
          <t>M</t>
        </is>
      </c>
      <c r="H262" s="80" t="n"/>
      <c r="I262" s="87" t="n"/>
      <c r="J262" s="87" t="inlineStr">
        <is>
          <t>Pendente</t>
        </is>
      </c>
      <c r="K262" s="60" t="n">
        <v>46099</v>
      </c>
      <c r="L262" s="87">
        <f>TEXT(A262,"mmmm")</f>
        <v/>
      </c>
    </row>
    <row r="263">
      <c r="A263" s="60" t="n">
        <v>46090</v>
      </c>
      <c r="B263" s="60" t="n">
        <v>46093</v>
      </c>
      <c r="C263" s="60" t="n">
        <v>46096</v>
      </c>
      <c r="D263" s="87" t="inlineStr">
        <is>
          <t>KARINA FERREIRA DE SOUZA</t>
        </is>
      </c>
      <c r="E263" s="87" t="inlineStr">
        <is>
          <t>Tokio</t>
        </is>
      </c>
      <c r="F263" s="87" t="inlineStr">
        <is>
          <t>Leticia</t>
        </is>
      </c>
      <c r="G263" s="87" t="inlineStr">
        <is>
          <t>F</t>
        </is>
      </c>
      <c r="H263" s="80" t="n"/>
      <c r="I263" s="87" t="n"/>
      <c r="J263" s="87" t="inlineStr">
        <is>
          <t>Pendente</t>
        </is>
      </c>
      <c r="K263" s="60" t="n">
        <v>46099</v>
      </c>
      <c r="L263" s="87">
        <f>TEXT(A263,"mmmm")</f>
        <v/>
      </c>
    </row>
    <row r="264">
      <c r="A264" s="60" t="n">
        <v>46091</v>
      </c>
      <c r="B264" s="60" t="n">
        <v>46094</v>
      </c>
      <c r="C264" s="60" t="n">
        <v>46097</v>
      </c>
      <c r="D264" s="87" t="inlineStr">
        <is>
          <t>CLEIDIMAR FURTUNATO DOS SANTOS</t>
        </is>
      </c>
      <c r="E264" s="87" t="inlineStr">
        <is>
          <t>Yellum</t>
        </is>
      </c>
      <c r="F264" s="87" t="inlineStr">
        <is>
          <t>Jacqueline</t>
        </is>
      </c>
      <c r="G264" s="87" t="inlineStr">
        <is>
          <t>F</t>
        </is>
      </c>
      <c r="H264" s="80" t="n"/>
      <c r="I264" s="87" t="n"/>
      <c r="J264" s="87" t="inlineStr">
        <is>
          <t>Pendente</t>
        </is>
      </c>
      <c r="K264" s="60" t="n">
        <v>46100</v>
      </c>
      <c r="L264" s="87">
        <f>TEXT(A264,"mmmm")</f>
        <v/>
      </c>
    </row>
    <row r="265">
      <c r="A265" s="60" t="n">
        <v>46090</v>
      </c>
      <c r="B265" s="60" t="n">
        <v>46093</v>
      </c>
      <c r="C265" s="60" t="n">
        <v>46096</v>
      </c>
      <c r="D265" s="87" t="inlineStr">
        <is>
          <t>FABIO DA SILVA PIMENTEL</t>
        </is>
      </c>
      <c r="E265" s="87" t="inlineStr">
        <is>
          <t>Tokio</t>
        </is>
      </c>
      <c r="F265" s="87" t="inlineStr">
        <is>
          <t>John</t>
        </is>
      </c>
      <c r="G265" s="87" t="inlineStr">
        <is>
          <t>M</t>
        </is>
      </c>
      <c r="H265" s="80" t="n"/>
      <c r="I265" s="87" t="n"/>
      <c r="J265" s="87" t="inlineStr">
        <is>
          <t>Pendente</t>
        </is>
      </c>
      <c r="K265" s="60" t="n">
        <v>46099</v>
      </c>
      <c r="L265" s="87">
        <f>TEXT(A265,"mmmm")</f>
        <v/>
      </c>
    </row>
    <row r="266">
      <c r="A266" s="60" t="n">
        <v>46091</v>
      </c>
      <c r="B266" s="60" t="n">
        <v>46094</v>
      </c>
      <c r="C266" s="60" t="n">
        <v>46097</v>
      </c>
      <c r="D266" s="87" t="inlineStr">
        <is>
          <t>GISELE CAROLAINE CLAUDINO DE PONTES</t>
        </is>
      </c>
      <c r="E266" s="87" t="inlineStr">
        <is>
          <t>Suhai</t>
        </is>
      </c>
      <c r="F266" s="87" t="inlineStr">
        <is>
          <t>Jéssica</t>
        </is>
      </c>
      <c r="G266" s="87" t="inlineStr">
        <is>
          <t>F</t>
        </is>
      </c>
      <c r="H266" s="80" t="n"/>
      <c r="I266" s="87" t="n"/>
      <c r="J266" s="87" t="inlineStr">
        <is>
          <t>Pendente</t>
        </is>
      </c>
      <c r="K266" s="60" t="n">
        <v>46100</v>
      </c>
      <c r="L266" s="87">
        <f>TEXT(A266,"mmmm")</f>
        <v/>
      </c>
    </row>
    <row r="267">
      <c r="A267" s="60" t="n">
        <v>46091</v>
      </c>
      <c r="B267" s="60" t="n">
        <v>46094</v>
      </c>
      <c r="C267" s="60" t="n">
        <v>46097</v>
      </c>
      <c r="D267" s="87" t="inlineStr">
        <is>
          <t>JOSE AUGUSTO LIMA DA SILVA</t>
        </is>
      </c>
      <c r="E267" s="87" t="inlineStr">
        <is>
          <t>Porto</t>
        </is>
      </c>
      <c r="F267" s="87" t="inlineStr">
        <is>
          <t>John</t>
        </is>
      </c>
      <c r="G267" s="87" t="inlineStr">
        <is>
          <t>M</t>
        </is>
      </c>
      <c r="H267" s="80" t="n"/>
      <c r="I267" s="87" t="n"/>
      <c r="J267" s="87" t="inlineStr">
        <is>
          <t>Pendente</t>
        </is>
      </c>
      <c r="K267" s="60" t="n">
        <v>46100</v>
      </c>
      <c r="L267" s="87">
        <f>TEXT(A267,"mmmm")</f>
        <v/>
      </c>
    </row>
    <row r="268">
      <c r="A268" s="60" t="n">
        <v>46091</v>
      </c>
      <c r="B268" s="60" t="n">
        <v>46094</v>
      </c>
      <c r="C268" s="60" t="n">
        <v>46097</v>
      </c>
      <c r="D268" s="87" t="inlineStr">
        <is>
          <t>DENISE DE SA MARQUES DOS SANTOS</t>
        </is>
      </c>
      <c r="E268" s="87" t="inlineStr">
        <is>
          <t>Allianz</t>
        </is>
      </c>
      <c r="F268" s="87" t="inlineStr">
        <is>
          <t>John</t>
        </is>
      </c>
      <c r="G268" s="87" t="inlineStr">
        <is>
          <t>M</t>
        </is>
      </c>
      <c r="H268" s="80" t="n"/>
      <c r="I268" s="87" t="n"/>
      <c r="J268" s="87" t="inlineStr">
        <is>
          <t>Pendente</t>
        </is>
      </c>
      <c r="K268" s="60" t="n">
        <v>46100</v>
      </c>
      <c r="L268" s="87">
        <f>TEXT(A268,"mmmm")</f>
        <v/>
      </c>
    </row>
    <row r="269">
      <c r="A269" s="60" t="n">
        <v>46091</v>
      </c>
      <c r="B269" s="60" t="n">
        <v>46094</v>
      </c>
      <c r="C269" s="60" t="n">
        <v>46097</v>
      </c>
      <c r="D269" s="87" t="inlineStr">
        <is>
          <t>FERNANDA SILVA DE OLIVEIRA ME</t>
        </is>
      </c>
      <c r="E269" s="87" t="inlineStr">
        <is>
          <t>Bradesco</t>
        </is>
      </c>
      <c r="F269" s="87" t="inlineStr">
        <is>
          <t>John</t>
        </is>
      </c>
      <c r="G269" s="87" t="inlineStr">
        <is>
          <t>M</t>
        </is>
      </c>
      <c r="H269" s="80" t="n"/>
      <c r="I269" s="87" t="n"/>
      <c r="J269" s="87" t="inlineStr">
        <is>
          <t>Pendente</t>
        </is>
      </c>
      <c r="K269" s="60" t="n">
        <v>46100</v>
      </c>
      <c r="L269" s="87">
        <f>TEXT(A269,"mmmm")</f>
        <v/>
      </c>
    </row>
    <row r="270">
      <c r="A270" s="60" t="n">
        <v>46091</v>
      </c>
      <c r="B270" s="60" t="n">
        <v>46094</v>
      </c>
      <c r="C270" s="60" t="n">
        <v>46097</v>
      </c>
      <c r="D270" s="87" t="inlineStr">
        <is>
          <t>RAFF COMERCIO VAREJISTA DE SORVETES LTDA</t>
        </is>
      </c>
      <c r="E270" s="87" t="inlineStr">
        <is>
          <t>Porto</t>
        </is>
      </c>
      <c r="F270" s="87" t="inlineStr">
        <is>
          <t>John</t>
        </is>
      </c>
      <c r="G270" s="87" t="inlineStr">
        <is>
          <t>M</t>
        </is>
      </c>
      <c r="H270" s="80" t="n"/>
      <c r="I270" s="87" t="n"/>
      <c r="J270" s="87" t="inlineStr">
        <is>
          <t>Pendente</t>
        </is>
      </c>
      <c r="K270" s="60" t="n">
        <v>46100</v>
      </c>
      <c r="L270" s="87">
        <f>TEXT(A270,"mmmm")</f>
        <v/>
      </c>
    </row>
    <row r="271">
      <c r="A271" s="60" t="n">
        <v>46091</v>
      </c>
      <c r="B271" s="60" t="n">
        <v>46094</v>
      </c>
      <c r="C271" s="60" t="n">
        <v>46097</v>
      </c>
      <c r="D271" s="87" t="inlineStr">
        <is>
          <t>ADRIANA MARQUES DA SILVA SOUZA</t>
        </is>
      </c>
      <c r="E271" s="87" t="inlineStr">
        <is>
          <t>Tokio</t>
        </is>
      </c>
      <c r="F271" s="87" t="inlineStr">
        <is>
          <t>John</t>
        </is>
      </c>
      <c r="G271" s="87" t="inlineStr">
        <is>
          <t>M</t>
        </is>
      </c>
      <c r="H271" s="80" t="n"/>
      <c r="I271" s="87" t="n"/>
      <c r="J271" s="87" t="inlineStr">
        <is>
          <t>Pendente</t>
        </is>
      </c>
      <c r="K271" s="60" t="n">
        <v>46100</v>
      </c>
      <c r="L271" s="87">
        <f>TEXT(A271,"mmmm")</f>
        <v/>
      </c>
    </row>
    <row r="272">
      <c r="A272" s="60" t="n">
        <v>46091</v>
      </c>
      <c r="B272" s="60" t="n">
        <v>46094</v>
      </c>
      <c r="C272" s="60" t="n">
        <v>46097</v>
      </c>
      <c r="D272" s="87" t="inlineStr">
        <is>
          <t>ANDERSON LINARES SANTANA</t>
        </is>
      </c>
      <c r="E272" s="87" t="inlineStr">
        <is>
          <t>Tokio</t>
        </is>
      </c>
      <c r="F272" s="87" t="inlineStr">
        <is>
          <t>John</t>
        </is>
      </c>
      <c r="G272" s="87" t="inlineStr">
        <is>
          <t>M</t>
        </is>
      </c>
      <c r="H272" s="80" t="n"/>
      <c r="I272" s="87" t="n"/>
      <c r="J272" s="87" t="inlineStr">
        <is>
          <t>Pendente</t>
        </is>
      </c>
      <c r="K272" s="60" t="n">
        <v>46100</v>
      </c>
      <c r="L272" s="87">
        <f>TEXT(A272,"mmmm")</f>
        <v/>
      </c>
    </row>
    <row r="273">
      <c r="A273" s="60" t="n">
        <v>46091</v>
      </c>
      <c r="B273" s="60" t="n">
        <v>46094</v>
      </c>
      <c r="C273" s="60" t="n">
        <v>46097</v>
      </c>
      <c r="D273" s="87" t="inlineStr">
        <is>
          <t>KAIQUE FERNANDES COSTA DOS SANTOS</t>
        </is>
      </c>
      <c r="E273" s="87" t="inlineStr">
        <is>
          <t>Suhai</t>
        </is>
      </c>
      <c r="F273" s="87" t="inlineStr">
        <is>
          <t>John</t>
        </is>
      </c>
      <c r="G273" s="87" t="inlineStr">
        <is>
          <t>M</t>
        </is>
      </c>
      <c r="H273" s="80" t="n"/>
      <c r="I273" s="87" t="n"/>
      <c r="J273" s="87" t="inlineStr">
        <is>
          <t>Pendente</t>
        </is>
      </c>
      <c r="K273" s="60" t="n">
        <v>46100</v>
      </c>
      <c r="L273" s="87">
        <f>TEXT(A273,"mmmm")</f>
        <v/>
      </c>
    </row>
    <row r="274">
      <c r="A274" s="60" t="n">
        <v>46091</v>
      </c>
      <c r="B274" s="60" t="n">
        <v>46094</v>
      </c>
      <c r="C274" s="60" t="n">
        <v>46097</v>
      </c>
      <c r="D274" s="87" t="inlineStr">
        <is>
          <t>RICARDO ALEXANDRE MANSO DOS SANTOS</t>
        </is>
      </c>
      <c r="E274" s="87" t="inlineStr">
        <is>
          <t>Tokio</t>
        </is>
      </c>
      <c r="F274" s="87" t="inlineStr">
        <is>
          <t>John</t>
        </is>
      </c>
      <c r="G274" s="87" t="inlineStr">
        <is>
          <t>M</t>
        </is>
      </c>
      <c r="H274" s="80" t="n"/>
      <c r="I274" s="87" t="n"/>
      <c r="J274" s="87" t="inlineStr">
        <is>
          <t>Pendente</t>
        </is>
      </c>
      <c r="K274" s="60" t="n">
        <v>46100</v>
      </c>
      <c r="L274" s="87">
        <f>TEXT(A274,"mmmm")</f>
        <v/>
      </c>
    </row>
    <row r="275">
      <c r="A275" s="60" t="n">
        <v>46091</v>
      </c>
      <c r="B275" s="60" t="n">
        <v>46094</v>
      </c>
      <c r="C275" s="60" t="n">
        <v>46097</v>
      </c>
      <c r="D275" s="87" t="inlineStr">
        <is>
          <t>JANIO DE SOUZA SOARES</t>
        </is>
      </c>
      <c r="E275" s="87" t="inlineStr">
        <is>
          <t>Tokio</t>
        </is>
      </c>
      <c r="F275" s="87" t="inlineStr">
        <is>
          <t>John</t>
        </is>
      </c>
      <c r="G275" s="87" t="inlineStr">
        <is>
          <t>M</t>
        </is>
      </c>
      <c r="H275" s="80" t="n"/>
      <c r="I275" s="87" t="n"/>
      <c r="J275" s="87" t="inlineStr">
        <is>
          <t>Pendente</t>
        </is>
      </c>
      <c r="K275" s="60" t="n">
        <v>46100</v>
      </c>
      <c r="L275" s="87">
        <f>TEXT(A275,"mmmm")</f>
        <v/>
      </c>
    </row>
    <row r="276">
      <c r="A276" s="60" t="n">
        <v>46091</v>
      </c>
      <c r="B276" s="60" t="n">
        <v>46094</v>
      </c>
      <c r="C276" s="60" t="n">
        <v>46097</v>
      </c>
      <c r="D276" s="87" t="inlineStr">
        <is>
          <t>CESAR SALVINO DO NASCIMENTO</t>
        </is>
      </c>
      <c r="E276" s="87" t="inlineStr">
        <is>
          <t>Suhai</t>
        </is>
      </c>
      <c r="F276" s="87" t="inlineStr">
        <is>
          <t>John</t>
        </is>
      </c>
      <c r="G276" s="87" t="inlineStr">
        <is>
          <t>M</t>
        </is>
      </c>
      <c r="H276" s="80" t="n"/>
      <c r="I276" s="87" t="n"/>
      <c r="J276" s="87" t="inlineStr">
        <is>
          <t>Pendente</t>
        </is>
      </c>
      <c r="K276" s="60" t="n">
        <v>46100</v>
      </c>
      <c r="L276" s="87">
        <f>TEXT(A276,"mmmm")</f>
        <v/>
      </c>
    </row>
    <row r="277">
      <c r="A277" s="60" t="n">
        <v>46092</v>
      </c>
      <c r="B277" s="60" t="n">
        <v>46095</v>
      </c>
      <c r="C277" s="60" t="n">
        <v>46098</v>
      </c>
      <c r="D277" s="87" t="inlineStr">
        <is>
          <t>EDUARDO CONCEICAO FERREIRA</t>
        </is>
      </c>
      <c r="E277" s="87" t="inlineStr">
        <is>
          <t>Suhai</t>
        </is>
      </c>
      <c r="F277" s="87" t="inlineStr">
        <is>
          <t>John</t>
        </is>
      </c>
      <c r="G277" s="87" t="inlineStr">
        <is>
          <t>M</t>
        </is>
      </c>
      <c r="H277" s="80" t="n"/>
      <c r="I277" s="87" t="n"/>
      <c r="J277" s="87" t="inlineStr">
        <is>
          <t>Pendente</t>
        </is>
      </c>
      <c r="K277" s="60" t="n">
        <v>46101</v>
      </c>
      <c r="L277" s="87">
        <f>TEXT(A277,"mmmm")</f>
        <v/>
      </c>
    </row>
    <row r="278">
      <c r="A278" s="60" t="n">
        <v>46092</v>
      </c>
      <c r="B278" s="60" t="n">
        <v>46095</v>
      </c>
      <c r="C278" s="60" t="n">
        <v>46098</v>
      </c>
      <c r="D278" s="87" t="inlineStr">
        <is>
          <t>VITORIA SILVA BONI DURANTE</t>
        </is>
      </c>
      <c r="E278" s="87" t="inlineStr">
        <is>
          <t>Porto</t>
        </is>
      </c>
      <c r="F278" s="87" t="inlineStr">
        <is>
          <t>John</t>
        </is>
      </c>
      <c r="G278" s="87" t="inlineStr">
        <is>
          <t>M</t>
        </is>
      </c>
      <c r="H278" s="80" t="n"/>
      <c r="I278" s="87" t="n"/>
      <c r="J278" s="87" t="inlineStr">
        <is>
          <t>Pendente</t>
        </is>
      </c>
      <c r="K278" s="60" t="n">
        <v>46101</v>
      </c>
      <c r="L278" s="87">
        <f>TEXT(A278,"mmmm")</f>
        <v/>
      </c>
    </row>
    <row r="279">
      <c r="A279" s="60" t="n">
        <v>46092</v>
      </c>
      <c r="B279" s="60" t="n">
        <v>46095</v>
      </c>
      <c r="C279" s="60" t="n">
        <v>46098</v>
      </c>
      <c r="D279" s="87" t="inlineStr">
        <is>
          <t>MARCIA DE LIMA GALIOTTI</t>
        </is>
      </c>
      <c r="E279" s="87" t="inlineStr">
        <is>
          <t>Tokio</t>
        </is>
      </c>
      <c r="F279" s="87" t="inlineStr">
        <is>
          <t>Leticia</t>
        </is>
      </c>
      <c r="G279" s="87" t="inlineStr">
        <is>
          <t>F</t>
        </is>
      </c>
      <c r="H279" s="80" t="n"/>
      <c r="I279" s="87" t="n"/>
      <c r="J279" s="87" t="inlineStr">
        <is>
          <t>Pendente</t>
        </is>
      </c>
      <c r="K279" s="60" t="n">
        <v>46101</v>
      </c>
      <c r="L279" s="87">
        <f>TEXT(A279,"mmmm")</f>
        <v/>
      </c>
    </row>
    <row r="280">
      <c r="A280" s="60" t="n">
        <v>46092</v>
      </c>
      <c r="B280" s="60" t="n">
        <v>46095</v>
      </c>
      <c r="C280" s="60" t="n">
        <v>46098</v>
      </c>
      <c r="D280" s="87" t="inlineStr">
        <is>
          <t>BERNONDES COSTA DA CRUZ</t>
        </is>
      </c>
      <c r="E280" s="87" t="inlineStr">
        <is>
          <t>Azul</t>
        </is>
      </c>
      <c r="F280" s="87" t="inlineStr">
        <is>
          <t>Myrelle</t>
        </is>
      </c>
      <c r="G280" s="87" t="inlineStr">
        <is>
          <t>F</t>
        </is>
      </c>
      <c r="H280" s="80" t="n"/>
      <c r="I280" s="87" t="n"/>
      <c r="J280" s="87" t="inlineStr">
        <is>
          <t>Pendente</t>
        </is>
      </c>
      <c r="K280" s="60" t="n">
        <v>46101</v>
      </c>
      <c r="L280" s="87">
        <f>TEXT(A280,"mmmm")</f>
        <v/>
      </c>
    </row>
    <row r="281">
      <c r="A281" s="60" t="n">
        <v>46092</v>
      </c>
      <c r="B281" s="60" t="n">
        <v>46095</v>
      </c>
      <c r="C281" s="60" t="n">
        <v>46098</v>
      </c>
      <c r="D281" s="87" t="inlineStr">
        <is>
          <t>FABIO FRANCA BISPO PINHEIRO</t>
        </is>
      </c>
      <c r="E281" s="87" t="inlineStr">
        <is>
          <t>Suhai</t>
        </is>
      </c>
      <c r="F281" s="87" t="inlineStr">
        <is>
          <t>Jacqueline</t>
        </is>
      </c>
      <c r="G281" s="87" t="inlineStr">
        <is>
          <t>F</t>
        </is>
      </c>
      <c r="H281" s="80" t="n"/>
      <c r="I281" s="87" t="n"/>
      <c r="J281" s="87" t="inlineStr">
        <is>
          <t>Pendente</t>
        </is>
      </c>
      <c r="K281" s="60" t="n">
        <v>46101</v>
      </c>
      <c r="L281" s="87">
        <f>TEXT(A281,"mmmm")</f>
        <v/>
      </c>
    </row>
    <row r="282">
      <c r="A282" s="60" t="n">
        <v>46092</v>
      </c>
      <c r="B282" s="60" t="n">
        <v>46095</v>
      </c>
      <c r="C282" s="60" t="n">
        <v>46098</v>
      </c>
      <c r="D282" s="87" t="inlineStr">
        <is>
          <t>BATISTA FERREIRA DOS SANTOS</t>
        </is>
      </c>
      <c r="E282" s="87" t="inlineStr">
        <is>
          <t>Porto</t>
        </is>
      </c>
      <c r="F282" s="87" t="inlineStr">
        <is>
          <t>Jacqueline</t>
        </is>
      </c>
      <c r="G282" s="87" t="inlineStr">
        <is>
          <t>F</t>
        </is>
      </c>
      <c r="H282" s="80" t="n"/>
      <c r="I282" s="87" t="n"/>
      <c r="J282" s="87" t="inlineStr">
        <is>
          <t>Pendente</t>
        </is>
      </c>
      <c r="K282" s="60" t="n">
        <v>46101</v>
      </c>
      <c r="L282" s="87">
        <f>TEXT(A282,"mmmm")</f>
        <v/>
      </c>
    </row>
    <row r="283">
      <c r="A283" s="60" t="n">
        <v>46092</v>
      </c>
      <c r="B283" s="60" t="n">
        <v>46095</v>
      </c>
      <c r="C283" s="60" t="n">
        <v>46098</v>
      </c>
      <c r="D283" s="87" t="inlineStr">
        <is>
          <t>CARLA LUIZA DE JESUS GERONYMO</t>
        </is>
      </c>
      <c r="E283" s="87" t="inlineStr">
        <is>
          <t>Azul</t>
        </is>
      </c>
      <c r="F283" s="87" t="inlineStr">
        <is>
          <t>Leticia</t>
        </is>
      </c>
      <c r="G283" s="87" t="inlineStr">
        <is>
          <t>F</t>
        </is>
      </c>
      <c r="H283" s="80" t="n"/>
      <c r="I283" s="87" t="n"/>
      <c r="J283" s="87" t="inlineStr">
        <is>
          <t>Pendente</t>
        </is>
      </c>
      <c r="K283" s="60" t="n">
        <v>46101</v>
      </c>
      <c r="L283" s="87">
        <f>TEXT(A283,"mmmm")</f>
        <v/>
      </c>
    </row>
    <row r="284">
      <c r="A284" s="60" t="n">
        <v>46092</v>
      </c>
      <c r="B284" s="60" t="n">
        <v>46095</v>
      </c>
      <c r="C284" s="60" t="n">
        <v>46098</v>
      </c>
      <c r="D284" s="87" t="inlineStr">
        <is>
          <t>LUIZ CARLOS PECORARO</t>
        </is>
      </c>
      <c r="E284" s="87" t="inlineStr">
        <is>
          <t>Porto</t>
        </is>
      </c>
      <c r="F284" s="87" t="inlineStr">
        <is>
          <t>Leticia</t>
        </is>
      </c>
      <c r="G284" s="87" t="inlineStr">
        <is>
          <t>F</t>
        </is>
      </c>
      <c r="H284" s="80" t="n"/>
      <c r="I284" s="87" t="n"/>
      <c r="J284" s="87" t="inlineStr">
        <is>
          <t>Pendente</t>
        </is>
      </c>
      <c r="K284" s="60" t="n">
        <v>46101</v>
      </c>
      <c r="L284" s="87">
        <f>TEXT(A284,"mmmm")</f>
        <v/>
      </c>
    </row>
    <row r="285">
      <c r="A285" s="60" t="n">
        <v>46092</v>
      </c>
      <c r="B285" s="60" t="n">
        <v>46095</v>
      </c>
      <c r="C285" s="60" t="n">
        <v>46098</v>
      </c>
      <c r="D285" s="87" t="inlineStr">
        <is>
          <t>MARIA DE FATIMA OLIVEIRA DA SILVA</t>
        </is>
      </c>
      <c r="E285" s="87" t="inlineStr">
        <is>
          <t>Mapfre</t>
        </is>
      </c>
      <c r="F285" s="87" t="inlineStr">
        <is>
          <t>Myrelle</t>
        </is>
      </c>
      <c r="G285" s="87" t="inlineStr">
        <is>
          <t>F</t>
        </is>
      </c>
      <c r="H285" s="80" t="n"/>
      <c r="I285" s="87" t="n"/>
      <c r="J285" s="87" t="inlineStr">
        <is>
          <t>Pendente</t>
        </is>
      </c>
      <c r="K285" s="60" t="n">
        <v>46101</v>
      </c>
      <c r="L285" s="87">
        <f>TEXT(A285,"mmmm")</f>
        <v/>
      </c>
    </row>
    <row r="286">
      <c r="A286" s="60" t="n">
        <v>46092</v>
      </c>
      <c r="B286" s="60" t="n">
        <v>46095</v>
      </c>
      <c r="C286" s="60" t="n">
        <v>46098</v>
      </c>
      <c r="D286" s="87" t="inlineStr">
        <is>
          <t>DECIO MARTINS GOMES</t>
        </is>
      </c>
      <c r="E286" s="87" t="inlineStr">
        <is>
          <t>Azul</t>
        </is>
      </c>
      <c r="F286" s="87" t="inlineStr">
        <is>
          <t>Enzo</t>
        </is>
      </c>
      <c r="G286" s="87" t="inlineStr">
        <is>
          <t>M</t>
        </is>
      </c>
      <c r="H286" s="80" t="n"/>
      <c r="I286" s="87" t="n"/>
      <c r="J286" s="87" t="inlineStr">
        <is>
          <t>Pendente</t>
        </is>
      </c>
      <c r="K286" s="60" t="n">
        <v>46101</v>
      </c>
      <c r="L286" s="87">
        <f>TEXT(A286,"mmmm")</f>
        <v/>
      </c>
    </row>
    <row r="287">
      <c r="A287" s="60" t="n">
        <v>46092</v>
      </c>
      <c r="B287" s="60" t="n">
        <v>46095</v>
      </c>
      <c r="C287" s="60" t="n">
        <v>46098</v>
      </c>
      <c r="D287" s="87" t="inlineStr">
        <is>
          <t>SIMONE FRANCO DE OLIVEIRA</t>
        </is>
      </c>
      <c r="E287" s="87" t="inlineStr">
        <is>
          <t>Azul</t>
        </is>
      </c>
      <c r="F287" s="87" t="inlineStr">
        <is>
          <t>Enzo</t>
        </is>
      </c>
      <c r="G287" s="87" t="inlineStr">
        <is>
          <t>M</t>
        </is>
      </c>
      <c r="H287" s="80" t="n"/>
      <c r="I287" s="87" t="n"/>
      <c r="J287" s="87" t="inlineStr">
        <is>
          <t>Pendente</t>
        </is>
      </c>
      <c r="K287" s="60" t="n">
        <v>46101</v>
      </c>
      <c r="L287" s="87">
        <f>TEXT(A287,"mmmm")</f>
        <v/>
      </c>
    </row>
    <row r="288">
      <c r="A288" s="60" t="n">
        <v>46092</v>
      </c>
      <c r="B288" s="60" t="n">
        <v>46095</v>
      </c>
      <c r="C288" s="60" t="n">
        <v>46098</v>
      </c>
      <c r="D288" s="87" t="inlineStr">
        <is>
          <t>WOSNEY DIAS DE PAIVA MOREIRA</t>
        </is>
      </c>
      <c r="E288" s="87" t="inlineStr">
        <is>
          <t>Tokio</t>
        </is>
      </c>
      <c r="F288" s="87" t="inlineStr">
        <is>
          <t>Enzo</t>
        </is>
      </c>
      <c r="G288" s="87" t="inlineStr">
        <is>
          <t>M</t>
        </is>
      </c>
      <c r="H288" s="80" t="n"/>
      <c r="I288" s="87" t="n"/>
      <c r="J288" s="87" t="inlineStr">
        <is>
          <t>Pendente</t>
        </is>
      </c>
      <c r="K288" s="60" t="n">
        <v>46101</v>
      </c>
      <c r="L288" s="87">
        <f>TEXT(A288,"mmmm")</f>
        <v/>
      </c>
    </row>
    <row r="289">
      <c r="A289" s="60" t="n">
        <v>46093</v>
      </c>
      <c r="B289" s="60" t="n">
        <v>46096</v>
      </c>
      <c r="C289" s="60" t="n">
        <v>46099</v>
      </c>
      <c r="D289" s="87" t="inlineStr">
        <is>
          <t>APARECIDO THEODORO</t>
        </is>
      </c>
      <c r="E289" s="87" t="inlineStr">
        <is>
          <t>Azul</t>
        </is>
      </c>
      <c r="F289" s="87" t="inlineStr">
        <is>
          <t>Jacqueline</t>
        </is>
      </c>
      <c r="G289" s="87" t="inlineStr">
        <is>
          <t>F</t>
        </is>
      </c>
      <c r="H289" s="80" t="n"/>
      <c r="I289" s="87" t="n"/>
      <c r="J289" s="87" t="inlineStr">
        <is>
          <t>Pendente</t>
        </is>
      </c>
      <c r="K289" s="60" t="n">
        <v>46102</v>
      </c>
      <c r="L289" s="87">
        <f>TEXT(A289,"mmmm")</f>
        <v/>
      </c>
    </row>
    <row r="290">
      <c r="A290" s="60" t="n">
        <v>46093</v>
      </c>
      <c r="B290" s="60" t="n">
        <v>46096</v>
      </c>
      <c r="C290" s="60" t="n">
        <v>46099</v>
      </c>
      <c r="D290" s="87" t="inlineStr">
        <is>
          <t>REGINA LUISA FERNANDES BARROS ALVES</t>
        </is>
      </c>
      <c r="E290" s="87" t="inlineStr">
        <is>
          <t>Porto</t>
        </is>
      </c>
      <c r="F290" s="87" t="inlineStr">
        <is>
          <t>John</t>
        </is>
      </c>
      <c r="G290" s="87" t="inlineStr">
        <is>
          <t>M</t>
        </is>
      </c>
      <c r="H290" s="80" t="n"/>
      <c r="I290" s="87" t="n"/>
      <c r="J290" s="87" t="inlineStr">
        <is>
          <t>Pendente</t>
        </is>
      </c>
      <c r="K290" s="60" t="n">
        <v>46102</v>
      </c>
      <c r="L290" s="87">
        <f>TEXT(A290,"mmmm")</f>
        <v/>
      </c>
    </row>
    <row r="291">
      <c r="A291" s="60" t="n">
        <v>46093</v>
      </c>
      <c r="B291" s="60" t="n">
        <v>46096</v>
      </c>
      <c r="C291" s="60" t="n">
        <v>46099</v>
      </c>
      <c r="D291" s="87" t="inlineStr">
        <is>
          <t>PEDRO RAFAEL DE MENEZES FRANCA</t>
        </is>
      </c>
      <c r="E291" s="87" t="inlineStr">
        <is>
          <t>Porto</t>
        </is>
      </c>
      <c r="F291" s="87" t="inlineStr">
        <is>
          <t>John</t>
        </is>
      </c>
      <c r="G291" s="87" t="inlineStr">
        <is>
          <t>M</t>
        </is>
      </c>
      <c r="H291" s="80" t="n"/>
      <c r="I291" s="87" t="n"/>
      <c r="J291" s="87" t="inlineStr">
        <is>
          <t>Pendente</t>
        </is>
      </c>
      <c r="K291" s="60" t="n">
        <v>46102</v>
      </c>
      <c r="L291" s="87">
        <f>TEXT(A291,"mmmm")</f>
        <v/>
      </c>
    </row>
    <row r="292">
      <c r="A292" s="60" t="n">
        <v>46093</v>
      </c>
      <c r="B292" s="60" t="n">
        <v>46096</v>
      </c>
      <c r="C292" s="60" t="n">
        <v>46099</v>
      </c>
      <c r="D292" s="87" t="inlineStr">
        <is>
          <t>VANER MENDES DA SILVA</t>
        </is>
      </c>
      <c r="E292" s="87" t="inlineStr">
        <is>
          <t>Azul</t>
        </is>
      </c>
      <c r="F292" s="87" t="inlineStr">
        <is>
          <t>John</t>
        </is>
      </c>
      <c r="G292" s="87" t="inlineStr">
        <is>
          <t>M</t>
        </is>
      </c>
      <c r="H292" s="80" t="n"/>
      <c r="I292" s="87" t="n"/>
      <c r="J292" s="87" t="inlineStr">
        <is>
          <t>Pendente</t>
        </is>
      </c>
      <c r="K292" s="60" t="n">
        <v>46102</v>
      </c>
      <c r="L292" s="87">
        <f>TEXT(A292,"mmmm")</f>
        <v/>
      </c>
    </row>
    <row r="293">
      <c r="A293" s="60" t="n">
        <v>46093</v>
      </c>
      <c r="B293" s="60" t="n">
        <v>46096</v>
      </c>
      <c r="C293" s="60" t="n">
        <v>46099</v>
      </c>
      <c r="D293" s="87" t="inlineStr">
        <is>
          <t>EDMUNDO MARQUES DE SOUSA</t>
        </is>
      </c>
      <c r="E293" s="87" t="inlineStr">
        <is>
          <t>Azul</t>
        </is>
      </c>
      <c r="F293" s="87" t="inlineStr">
        <is>
          <t>Leticia</t>
        </is>
      </c>
      <c r="G293" s="87" t="inlineStr">
        <is>
          <t>F</t>
        </is>
      </c>
      <c r="H293" s="80" t="n"/>
      <c r="I293" s="87" t="n"/>
      <c r="J293" s="87" t="inlineStr">
        <is>
          <t>Pendente</t>
        </is>
      </c>
      <c r="K293" s="60" t="n">
        <v>46102</v>
      </c>
      <c r="L293" s="87">
        <f>TEXT(A293,"mmmm")</f>
        <v/>
      </c>
    </row>
    <row r="294">
      <c r="A294" s="60" t="n">
        <v>46093</v>
      </c>
      <c r="B294" s="60" t="n">
        <v>46096</v>
      </c>
      <c r="C294" s="60" t="n">
        <v>46099</v>
      </c>
      <c r="D294" s="87" t="inlineStr">
        <is>
          <t>EDUARDO PINHO DOS SANTOS</t>
        </is>
      </c>
      <c r="E294" s="87" t="inlineStr">
        <is>
          <t>Suhai</t>
        </is>
      </c>
      <c r="F294" s="87" t="inlineStr">
        <is>
          <t>Jéssica</t>
        </is>
      </c>
      <c r="G294" s="87" t="inlineStr">
        <is>
          <t>F</t>
        </is>
      </c>
      <c r="H294" s="80" t="n"/>
      <c r="I294" s="87" t="n"/>
      <c r="J294" s="87" t="inlineStr">
        <is>
          <t>Pendente</t>
        </is>
      </c>
      <c r="K294" s="60" t="n">
        <v>46102</v>
      </c>
      <c r="L294" s="87">
        <f>TEXT(A294,"mmmm")</f>
        <v/>
      </c>
    </row>
    <row r="295">
      <c r="A295" s="60" t="n">
        <v>46093</v>
      </c>
      <c r="B295" s="60" t="n">
        <v>46096</v>
      </c>
      <c r="C295" s="60" t="n">
        <v>46099</v>
      </c>
      <c r="D295" s="87" t="inlineStr">
        <is>
          <t>DIONISIO PEREIRA DOS SANTOS</t>
        </is>
      </c>
      <c r="E295" s="87" t="inlineStr">
        <is>
          <t>Mapfre</t>
        </is>
      </c>
      <c r="F295" s="87" t="inlineStr">
        <is>
          <t>Jéssica</t>
        </is>
      </c>
      <c r="G295" s="87" t="inlineStr">
        <is>
          <t>F</t>
        </is>
      </c>
      <c r="H295" s="80" t="n"/>
      <c r="I295" s="87" t="n"/>
      <c r="J295" s="87" t="inlineStr">
        <is>
          <t>Pendente</t>
        </is>
      </c>
      <c r="K295" s="60" t="n">
        <v>46102</v>
      </c>
      <c r="L295" s="87">
        <f>TEXT(A295,"mmmm")</f>
        <v/>
      </c>
    </row>
    <row r="296">
      <c r="A296" s="60" t="n">
        <v>46093</v>
      </c>
      <c r="B296" s="60" t="n">
        <v>46096</v>
      </c>
      <c r="C296" s="60" t="n">
        <v>46099</v>
      </c>
      <c r="D296" s="87" t="inlineStr">
        <is>
          <t>FLORISVALDO SANTOS NEPOMUCENO</t>
        </is>
      </c>
      <c r="E296" s="87" t="inlineStr">
        <is>
          <t>Porto</t>
        </is>
      </c>
      <c r="F296" s="87" t="inlineStr">
        <is>
          <t>Leticia</t>
        </is>
      </c>
      <c r="G296" s="87" t="inlineStr">
        <is>
          <t>F</t>
        </is>
      </c>
      <c r="H296" s="80" t="n"/>
      <c r="I296" s="87" t="n"/>
      <c r="J296" s="87" t="inlineStr">
        <is>
          <t>Pendente</t>
        </is>
      </c>
      <c r="K296" s="60" t="n">
        <v>46102</v>
      </c>
      <c r="L296" s="87">
        <f>TEXT(A296,"mmmm")</f>
        <v/>
      </c>
    </row>
    <row r="297">
      <c r="A297" s="60" t="n">
        <v>46093</v>
      </c>
      <c r="B297" s="60" t="n">
        <v>46096</v>
      </c>
      <c r="C297" s="60" t="n">
        <v>46099</v>
      </c>
      <c r="D297" s="87" t="inlineStr">
        <is>
          <t>AMANDA DA CRUZ SALES</t>
        </is>
      </c>
      <c r="E297" s="87" t="inlineStr">
        <is>
          <t>Suhai</t>
        </is>
      </c>
      <c r="F297" s="87" t="inlineStr">
        <is>
          <t>John</t>
        </is>
      </c>
      <c r="G297" s="87" t="inlineStr">
        <is>
          <t>M</t>
        </is>
      </c>
      <c r="H297" s="80" t="n"/>
      <c r="I297" s="87" t="n"/>
      <c r="J297" s="87" t="inlineStr">
        <is>
          <t>Pendente</t>
        </is>
      </c>
      <c r="K297" s="60" t="n">
        <v>46102</v>
      </c>
      <c r="L297" s="87">
        <f>TEXT(A297,"mmmm")</f>
        <v/>
      </c>
    </row>
    <row r="298">
      <c r="A298" s="60" t="n">
        <v>46093</v>
      </c>
      <c r="B298" s="60" t="n">
        <v>46096</v>
      </c>
      <c r="C298" s="60" t="n">
        <v>46099</v>
      </c>
      <c r="D298" s="87" t="inlineStr">
        <is>
          <t>RONE RODRIGUES DA SILVA</t>
        </is>
      </c>
      <c r="E298" s="87" t="inlineStr">
        <is>
          <t>Tokio</t>
        </is>
      </c>
      <c r="F298" s="87" t="inlineStr">
        <is>
          <t>Leticia</t>
        </is>
      </c>
      <c r="G298" s="87" t="inlineStr">
        <is>
          <t>F</t>
        </is>
      </c>
      <c r="H298" s="80" t="n"/>
      <c r="I298" s="87" t="n"/>
      <c r="J298" s="87" t="inlineStr">
        <is>
          <t>Pendente</t>
        </is>
      </c>
      <c r="K298" s="60" t="n">
        <v>46102</v>
      </c>
      <c r="L298" s="87">
        <f>TEXT(A298,"mmmm")</f>
        <v/>
      </c>
    </row>
    <row r="299">
      <c r="A299" s="60" t="n">
        <v>46094</v>
      </c>
      <c r="B299" s="60" t="n">
        <v>46097</v>
      </c>
      <c r="C299" s="60" t="n">
        <v>46100</v>
      </c>
      <c r="D299" s="87" t="inlineStr">
        <is>
          <t>ADRIANO DE OLIVEIRA GOMES</t>
        </is>
      </c>
      <c r="E299" s="87" t="inlineStr">
        <is>
          <t>Suhai</t>
        </is>
      </c>
      <c r="F299" s="87" t="inlineStr">
        <is>
          <t>John</t>
        </is>
      </c>
      <c r="G299" s="87" t="inlineStr">
        <is>
          <t>M</t>
        </is>
      </c>
      <c r="H299" s="80" t="n"/>
      <c r="I299" s="87" t="n"/>
      <c r="J299" s="87" t="inlineStr">
        <is>
          <t>Pendente</t>
        </is>
      </c>
      <c r="K299" s="60" t="n">
        <v>46103</v>
      </c>
      <c r="L299" s="87">
        <f>TEXT(A299,"mmmm")</f>
        <v/>
      </c>
    </row>
    <row r="300">
      <c r="A300" s="60" t="n">
        <v>46094</v>
      </c>
      <c r="B300" s="60" t="n">
        <v>46097</v>
      </c>
      <c r="C300" s="60" t="n">
        <v>46100</v>
      </c>
      <c r="D300" s="87" t="inlineStr">
        <is>
          <t>BRUNO ALBERO DE REZENDE</t>
        </is>
      </c>
      <c r="E300" s="87" t="inlineStr">
        <is>
          <t>Suhai</t>
        </is>
      </c>
      <c r="F300" s="87" t="inlineStr">
        <is>
          <t>Myrelle</t>
        </is>
      </c>
      <c r="G300" s="87" t="inlineStr">
        <is>
          <t>F</t>
        </is>
      </c>
      <c r="H300" s="80" t="n"/>
      <c r="I300" s="87" t="n"/>
      <c r="J300" s="87" t="inlineStr">
        <is>
          <t>Pendente</t>
        </is>
      </c>
      <c r="K300" s="60" t="n">
        <v>46103</v>
      </c>
      <c r="L300" s="87">
        <f>TEXT(A300,"mmmm")</f>
        <v/>
      </c>
    </row>
    <row r="301">
      <c r="A301" s="60" t="n">
        <v>46094</v>
      </c>
      <c r="B301" s="60" t="n">
        <v>46097</v>
      </c>
      <c r="C301" s="60" t="n">
        <v>46100</v>
      </c>
      <c r="D301" s="87" t="inlineStr">
        <is>
          <t>VALDO RIBEIRO</t>
        </is>
      </c>
      <c r="E301" s="87" t="inlineStr">
        <is>
          <t>Suhai</t>
        </is>
      </c>
      <c r="F301" s="87" t="inlineStr">
        <is>
          <t>Jacqueline</t>
        </is>
      </c>
      <c r="G301" s="87" t="inlineStr">
        <is>
          <t>F</t>
        </is>
      </c>
      <c r="H301" s="80" t="n"/>
      <c r="I301" s="87" t="n"/>
      <c r="J301" s="87" t="inlineStr">
        <is>
          <t>Pendente</t>
        </is>
      </c>
      <c r="K301" s="60" t="n">
        <v>46103</v>
      </c>
      <c r="L301" s="87">
        <f>TEXT(A301,"mmmm")</f>
        <v/>
      </c>
    </row>
    <row r="302">
      <c r="A302" s="60" t="n">
        <v>46094</v>
      </c>
      <c r="B302" s="60" t="n">
        <v>46097</v>
      </c>
      <c r="C302" s="60" t="n">
        <v>46100</v>
      </c>
      <c r="D302" s="87" t="inlineStr">
        <is>
          <t>VIVIANE SILVA DOS SANTOS</t>
        </is>
      </c>
      <c r="E302" s="87" t="inlineStr">
        <is>
          <t>Tokio</t>
        </is>
      </c>
      <c r="F302" s="87" t="inlineStr">
        <is>
          <t>Jacqueline</t>
        </is>
      </c>
      <c r="G302" s="87" t="inlineStr">
        <is>
          <t>F</t>
        </is>
      </c>
      <c r="H302" s="80" t="n"/>
      <c r="I302" s="87" t="n"/>
      <c r="J302" s="87" t="inlineStr">
        <is>
          <t>Pendente</t>
        </is>
      </c>
      <c r="K302" s="60" t="n">
        <v>46103</v>
      </c>
      <c r="L302" s="87">
        <f>TEXT(A302,"mmmm")</f>
        <v/>
      </c>
    </row>
    <row r="303">
      <c r="A303" s="60" t="n">
        <v>46094</v>
      </c>
      <c r="B303" s="60" t="n">
        <v>46097</v>
      </c>
      <c r="C303" s="60" t="n">
        <v>46100</v>
      </c>
      <c r="D303" s="87" t="inlineStr">
        <is>
          <t>MILENE MARIA DA CONCEICAO</t>
        </is>
      </c>
      <c r="E303" s="87" t="inlineStr">
        <is>
          <t>Azul</t>
        </is>
      </c>
      <c r="F303" s="87" t="inlineStr">
        <is>
          <t>Jacqueline</t>
        </is>
      </c>
      <c r="G303" s="87" t="inlineStr">
        <is>
          <t>F</t>
        </is>
      </c>
      <c r="H303" s="80" t="n"/>
      <c r="I303" s="87" t="n"/>
      <c r="J303" s="87" t="inlineStr">
        <is>
          <t>Pendente</t>
        </is>
      </c>
      <c r="K303" s="60" t="n">
        <v>46103</v>
      </c>
      <c r="L303" s="87">
        <f>TEXT(A303,"mmmm")</f>
        <v/>
      </c>
    </row>
    <row r="304">
      <c r="A304" s="60" t="n">
        <v>46094</v>
      </c>
      <c r="B304" s="60" t="n">
        <v>46097</v>
      </c>
      <c r="C304" s="60" t="n">
        <v>46100</v>
      </c>
      <c r="D304" s="87" t="inlineStr">
        <is>
          <t>JURANDIR JOAO DA SILVA</t>
        </is>
      </c>
      <c r="E304" s="87" t="inlineStr">
        <is>
          <t>Azul</t>
        </is>
      </c>
      <c r="F304" s="87" t="inlineStr">
        <is>
          <t>Enzo</t>
        </is>
      </c>
      <c r="G304" s="87" t="inlineStr">
        <is>
          <t>M</t>
        </is>
      </c>
      <c r="H304" s="80" t="n"/>
      <c r="I304" s="87" t="n"/>
      <c r="J304" s="87" t="inlineStr">
        <is>
          <t>Pendente</t>
        </is>
      </c>
      <c r="K304" s="60" t="n">
        <v>46103</v>
      </c>
      <c r="L304" s="87">
        <f>TEXT(A304,"mmmm")</f>
        <v/>
      </c>
    </row>
    <row r="305">
      <c r="A305" s="60" t="n">
        <v>46094</v>
      </c>
      <c r="B305" s="60" t="n">
        <v>46097</v>
      </c>
      <c r="C305" s="60" t="n">
        <v>46100</v>
      </c>
      <c r="D305" s="87" t="inlineStr">
        <is>
          <t>DANIEL BISPO DOS SANTOS</t>
        </is>
      </c>
      <c r="E305" s="87" t="inlineStr">
        <is>
          <t>Suhai</t>
        </is>
      </c>
      <c r="F305" s="87" t="inlineStr">
        <is>
          <t>Enzo</t>
        </is>
      </c>
      <c r="G305" s="87" t="inlineStr">
        <is>
          <t>M</t>
        </is>
      </c>
      <c r="H305" s="80" t="n"/>
      <c r="I305" s="87" t="n"/>
      <c r="J305" s="87" t="inlineStr">
        <is>
          <t>Pendente</t>
        </is>
      </c>
      <c r="K305" s="60" t="n">
        <v>46103</v>
      </c>
      <c r="L305" s="87">
        <f>TEXT(A305,"mmmm")</f>
        <v/>
      </c>
    </row>
    <row r="306">
      <c r="A306" s="60" t="n">
        <v>46094</v>
      </c>
      <c r="B306" s="60" t="n">
        <v>46097</v>
      </c>
      <c r="C306" s="60" t="n">
        <v>46100</v>
      </c>
      <c r="D306" s="87" t="inlineStr">
        <is>
          <t>IZAQUIEL COSTA DA SILVA</t>
        </is>
      </c>
      <c r="E306" s="87" t="inlineStr">
        <is>
          <t>Azul</t>
        </is>
      </c>
      <c r="F306" s="87" t="inlineStr">
        <is>
          <t>Jacqueline</t>
        </is>
      </c>
      <c r="G306" s="87" t="inlineStr">
        <is>
          <t>F</t>
        </is>
      </c>
      <c r="H306" s="80" t="n"/>
      <c r="I306" s="87" t="n"/>
      <c r="J306" s="87" t="inlineStr">
        <is>
          <t>Pendente</t>
        </is>
      </c>
      <c r="K306" s="60" t="n">
        <v>46103</v>
      </c>
      <c r="L306" s="87">
        <f>TEXT(A306,"mmmm")</f>
        <v/>
      </c>
    </row>
    <row r="307">
      <c r="A307" s="60" t="n">
        <v>46094</v>
      </c>
      <c r="B307" s="60" t="n">
        <v>46097</v>
      </c>
      <c r="C307" s="60" t="n">
        <v>46100</v>
      </c>
      <c r="D307" s="87" t="inlineStr">
        <is>
          <t>ISLOM JANUARIO ASSUNCAO</t>
        </is>
      </c>
      <c r="E307" s="87" t="inlineStr">
        <is>
          <t>Tokio</t>
        </is>
      </c>
      <c r="F307" s="87" t="inlineStr">
        <is>
          <t>John</t>
        </is>
      </c>
      <c r="G307" s="87" t="inlineStr">
        <is>
          <t>M</t>
        </is>
      </c>
      <c r="H307" s="80" t="n"/>
      <c r="I307" s="87" t="n"/>
      <c r="J307" s="87" t="inlineStr">
        <is>
          <t>Pendente</t>
        </is>
      </c>
      <c r="K307" s="60" t="n">
        <v>46103</v>
      </c>
      <c r="L307" s="87">
        <f>TEXT(A307,"mmmm")</f>
        <v/>
      </c>
    </row>
    <row r="308">
      <c r="A308" s="60" t="n">
        <v>46094</v>
      </c>
      <c r="B308" s="60" t="n">
        <v>46097</v>
      </c>
      <c r="C308" s="60" t="n">
        <v>46100</v>
      </c>
      <c r="D308" s="87" t="inlineStr">
        <is>
          <t>ROGERIO TAKESHI SATO</t>
        </is>
      </c>
      <c r="E308" s="87" t="inlineStr">
        <is>
          <t>Suhai</t>
        </is>
      </c>
      <c r="F308" s="87" t="inlineStr">
        <is>
          <t>John</t>
        </is>
      </c>
      <c r="G308" s="87" t="inlineStr">
        <is>
          <t>M</t>
        </is>
      </c>
      <c r="H308" s="80" t="n"/>
      <c r="I308" s="87" t="n"/>
      <c r="J308" s="87" t="inlineStr">
        <is>
          <t>Pendente</t>
        </is>
      </c>
      <c r="K308" s="60" t="n">
        <v>46103</v>
      </c>
      <c r="L308" s="87">
        <f>TEXT(A308,"mmmm")</f>
        <v/>
      </c>
    </row>
    <row r="309">
      <c r="A309" s="60" t="n">
        <v>46094</v>
      </c>
      <c r="B309" s="60" t="n">
        <v>46097</v>
      </c>
      <c r="C309" s="60" t="n">
        <v>46100</v>
      </c>
      <c r="D309" s="87" t="inlineStr">
        <is>
          <t>OSIRIS AUGUSTO PASSARELLI DE MORAES</t>
        </is>
      </c>
      <c r="E309" s="87" t="inlineStr">
        <is>
          <t>Itaú</t>
        </is>
      </c>
      <c r="F309" s="87" t="inlineStr">
        <is>
          <t>Enzo</t>
        </is>
      </c>
      <c r="G309" s="87" t="inlineStr">
        <is>
          <t>M</t>
        </is>
      </c>
      <c r="H309" s="80" t="n"/>
      <c r="I309" s="87" t="n"/>
      <c r="J309" s="87" t="inlineStr">
        <is>
          <t>Pendente</t>
        </is>
      </c>
      <c r="K309" s="60" t="n">
        <v>46103</v>
      </c>
      <c r="L309" s="87">
        <f>TEXT(A309,"mmmm")</f>
        <v/>
      </c>
    </row>
    <row r="310">
      <c r="A310" s="60" t="n">
        <v>46094</v>
      </c>
      <c r="B310" s="60" t="n">
        <v>46097</v>
      </c>
      <c r="C310" s="60" t="n">
        <v>46100</v>
      </c>
      <c r="D310" s="87" t="inlineStr">
        <is>
          <t>PATRICIA SILVA DE BRITO</t>
        </is>
      </c>
      <c r="E310" s="87" t="inlineStr">
        <is>
          <t>Azul</t>
        </is>
      </c>
      <c r="F310" s="87" t="inlineStr">
        <is>
          <t>Enzo</t>
        </is>
      </c>
      <c r="G310" s="87" t="inlineStr">
        <is>
          <t>M</t>
        </is>
      </c>
      <c r="H310" s="80" t="n"/>
      <c r="I310" s="87" t="n"/>
      <c r="J310" s="87" t="inlineStr">
        <is>
          <t>Pendente</t>
        </is>
      </c>
      <c r="K310" s="60" t="n">
        <v>46103</v>
      </c>
      <c r="L310" s="87">
        <f>TEXT(A310,"mmmm")</f>
        <v/>
      </c>
    </row>
    <row r="311">
      <c r="A311" s="60" t="n">
        <v>46094</v>
      </c>
      <c r="B311" s="60" t="n">
        <v>46097</v>
      </c>
      <c r="C311" s="60" t="n">
        <v>46100</v>
      </c>
      <c r="D311" s="87" t="inlineStr">
        <is>
          <t>TANIA REGINA SANTORSULA</t>
        </is>
      </c>
      <c r="E311" s="87" t="inlineStr">
        <is>
          <t>Azul</t>
        </is>
      </c>
      <c r="F311" s="87" t="inlineStr">
        <is>
          <t>Jacqueline</t>
        </is>
      </c>
      <c r="G311" s="87" t="inlineStr">
        <is>
          <t>F</t>
        </is>
      </c>
      <c r="H311" s="80" t="n"/>
      <c r="I311" s="87" t="n"/>
      <c r="J311" s="87" t="inlineStr">
        <is>
          <t>Pendente</t>
        </is>
      </c>
      <c r="K311" s="60" t="n">
        <v>46103</v>
      </c>
      <c r="L311" s="87">
        <f>TEXT(A311,"mmmm")</f>
        <v/>
      </c>
    </row>
    <row r="312">
      <c r="A312" s="60" t="n">
        <v>46097</v>
      </c>
      <c r="B312" s="60" t="n">
        <v>46100</v>
      </c>
      <c r="C312" s="60" t="n">
        <v>46103</v>
      </c>
      <c r="D312" s="87" t="inlineStr">
        <is>
          <t>NADJA SILVA DOS SANTOS ANTONIETTI</t>
        </is>
      </c>
      <c r="E312" s="87" t="inlineStr">
        <is>
          <t>Porto</t>
        </is>
      </c>
      <c r="F312" s="87" t="inlineStr">
        <is>
          <t>Jéssica</t>
        </is>
      </c>
      <c r="G312" s="87" t="inlineStr">
        <is>
          <t>F</t>
        </is>
      </c>
      <c r="H312" s="80" t="n"/>
      <c r="I312" s="87" t="n"/>
      <c r="J312" s="87" t="inlineStr">
        <is>
          <t>Pendente</t>
        </is>
      </c>
      <c r="K312" s="60" t="n">
        <v>46106</v>
      </c>
      <c r="L312" s="87">
        <f>TEXT(A312,"mmmm")</f>
        <v/>
      </c>
    </row>
    <row r="313">
      <c r="A313" s="60" t="n">
        <v>46097</v>
      </c>
      <c r="B313" s="60" t="n">
        <v>46100</v>
      </c>
      <c r="C313" s="60" t="n">
        <v>46103</v>
      </c>
      <c r="D313" s="87" t="inlineStr">
        <is>
          <t>RONALDO BARRERO</t>
        </is>
      </c>
      <c r="E313" s="87" t="inlineStr">
        <is>
          <t>Azul</t>
        </is>
      </c>
      <c r="F313" s="87" t="inlineStr">
        <is>
          <t>Leticia</t>
        </is>
      </c>
      <c r="G313" s="87" t="inlineStr">
        <is>
          <t>F</t>
        </is>
      </c>
      <c r="H313" s="80" t="n"/>
      <c r="I313" s="87" t="n"/>
      <c r="J313" s="87" t="inlineStr">
        <is>
          <t>Pendente</t>
        </is>
      </c>
      <c r="K313" s="60" t="n">
        <v>46106</v>
      </c>
      <c r="L313" s="87">
        <f>TEXT(A313,"mmmm")</f>
        <v/>
      </c>
    </row>
    <row r="314">
      <c r="A314" s="60" t="n">
        <v>46097</v>
      </c>
      <c r="B314" s="60" t="n">
        <v>46100</v>
      </c>
      <c r="C314" s="60" t="n">
        <v>46103</v>
      </c>
      <c r="D314" s="87" t="inlineStr">
        <is>
          <t>HEBER FERREIRA NUNES</t>
        </is>
      </c>
      <c r="E314" s="87" t="inlineStr">
        <is>
          <t>Azul</t>
        </is>
      </c>
      <c r="F314" s="87" t="inlineStr">
        <is>
          <t>John</t>
        </is>
      </c>
      <c r="G314" s="87" t="inlineStr">
        <is>
          <t>M</t>
        </is>
      </c>
      <c r="H314" s="80" t="n"/>
      <c r="I314" s="87" t="n"/>
      <c r="J314" s="87" t="inlineStr">
        <is>
          <t>Pendente</t>
        </is>
      </c>
      <c r="K314" s="60" t="n">
        <v>46106</v>
      </c>
      <c r="L314" s="87">
        <f>TEXT(A314,"mmmm")</f>
        <v/>
      </c>
    </row>
    <row r="315">
      <c r="A315" s="60" t="n">
        <v>46098</v>
      </c>
      <c r="B315" s="60" t="n">
        <v>46101</v>
      </c>
      <c r="C315" s="60" t="n">
        <v>46104</v>
      </c>
      <c r="D315" s="87" t="inlineStr">
        <is>
          <t>NICOLLY ALVES PEREIRA</t>
        </is>
      </c>
      <c r="E315" s="87" t="inlineStr">
        <is>
          <t>Porto</t>
        </is>
      </c>
      <c r="F315" s="87" t="inlineStr">
        <is>
          <t>Myrelle</t>
        </is>
      </c>
      <c r="G315" s="87" t="inlineStr">
        <is>
          <t>F</t>
        </is>
      </c>
      <c r="H315" s="80" t="n"/>
      <c r="I315" s="87" t="n"/>
      <c r="J315" s="87" t="inlineStr">
        <is>
          <t>Pendente</t>
        </is>
      </c>
      <c r="K315" s="60" t="n">
        <v>46107</v>
      </c>
      <c r="L315" s="87">
        <f>TEXT(A315,"mmmm")</f>
        <v/>
      </c>
    </row>
    <row r="316">
      <c r="A316" s="60" t="n">
        <v>46098</v>
      </c>
      <c r="B316" s="60" t="n">
        <v>46101</v>
      </c>
      <c r="C316" s="60" t="n">
        <v>46104</v>
      </c>
      <c r="D316" s="87" t="inlineStr">
        <is>
          <t>FABBIO TARSITANO</t>
        </is>
      </c>
      <c r="E316" s="87" t="inlineStr">
        <is>
          <t>Suhai</t>
        </is>
      </c>
      <c r="F316" s="87" t="inlineStr">
        <is>
          <t>John</t>
        </is>
      </c>
      <c r="G316" s="87" t="inlineStr">
        <is>
          <t>M</t>
        </is>
      </c>
      <c r="H316" s="80" t="n"/>
      <c r="I316" s="87" t="n"/>
      <c r="J316" s="87" t="inlineStr">
        <is>
          <t>Pendente</t>
        </is>
      </c>
      <c r="K316" s="60" t="n">
        <v>46107</v>
      </c>
      <c r="L316" s="87">
        <f>TEXT(A316,"mmmm")</f>
        <v/>
      </c>
    </row>
    <row r="317">
      <c r="A317" s="60" t="n">
        <v>46098</v>
      </c>
      <c r="B317" s="60" t="n">
        <v>46101</v>
      </c>
      <c r="C317" s="60" t="n">
        <v>46104</v>
      </c>
      <c r="D317" s="87" t="inlineStr">
        <is>
          <t>ANTONIO SOARES DOS SANTOS FILHO</t>
        </is>
      </c>
      <c r="E317" s="87" t="inlineStr">
        <is>
          <t>Tokio</t>
        </is>
      </c>
      <c r="F317" s="87" t="inlineStr">
        <is>
          <t>John</t>
        </is>
      </c>
      <c r="G317" s="87" t="inlineStr">
        <is>
          <t>M</t>
        </is>
      </c>
      <c r="H317" s="80" t="n"/>
      <c r="I317" s="87" t="n"/>
      <c r="J317" s="87" t="inlineStr">
        <is>
          <t>Pendente</t>
        </is>
      </c>
      <c r="K317" s="60" t="n">
        <v>46107</v>
      </c>
      <c r="L317" s="87">
        <f>TEXT(A317,"mmmm")</f>
        <v/>
      </c>
    </row>
    <row r="318">
      <c r="A318" s="60" t="n">
        <v>46098</v>
      </c>
      <c r="B318" s="60" t="n">
        <v>46101</v>
      </c>
      <c r="C318" s="60" t="n">
        <v>46104</v>
      </c>
      <c r="D318" s="87" t="inlineStr">
        <is>
          <t>WILTON DE FATIMA SOUZA</t>
        </is>
      </c>
      <c r="E318" s="87" t="inlineStr">
        <is>
          <t>Suhai</t>
        </is>
      </c>
      <c r="F318" s="87" t="inlineStr">
        <is>
          <t>John</t>
        </is>
      </c>
      <c r="G318" s="87" t="inlineStr">
        <is>
          <t>M</t>
        </is>
      </c>
      <c r="H318" s="80" t="n"/>
      <c r="I318" s="87" t="n"/>
      <c r="J318" s="87" t="inlineStr">
        <is>
          <t>Pendente</t>
        </is>
      </c>
      <c r="K318" s="60" t="n">
        <v>46107</v>
      </c>
      <c r="L318" s="87">
        <f>TEXT(A318,"mmmm")</f>
        <v/>
      </c>
    </row>
    <row r="319">
      <c r="A319" s="60" t="n">
        <v>46098</v>
      </c>
      <c r="B319" s="60" t="n">
        <v>46101</v>
      </c>
      <c r="C319" s="60" t="n">
        <v>46104</v>
      </c>
      <c r="D319" s="87" t="inlineStr">
        <is>
          <t>BRUNO DIAS GOMES</t>
        </is>
      </c>
      <c r="E319" s="87" t="inlineStr">
        <is>
          <t>Tokio</t>
        </is>
      </c>
      <c r="F319" s="87" t="inlineStr">
        <is>
          <t>John</t>
        </is>
      </c>
      <c r="G319" s="87" t="inlineStr">
        <is>
          <t>M</t>
        </is>
      </c>
      <c r="H319" s="80" t="n"/>
      <c r="I319" s="87" t="n"/>
      <c r="J319" s="87" t="inlineStr">
        <is>
          <t>Pendente</t>
        </is>
      </c>
      <c r="K319" s="60" t="n">
        <v>46107</v>
      </c>
      <c r="L319" s="87">
        <f>TEXT(A319,"mmmm")</f>
        <v/>
      </c>
    </row>
    <row r="320">
      <c r="A320" s="60" t="n">
        <v>46098</v>
      </c>
      <c r="B320" s="60" t="n">
        <v>46101</v>
      </c>
      <c r="C320" s="60" t="n">
        <v>46104</v>
      </c>
      <c r="D320" s="87" t="inlineStr">
        <is>
          <t>FRANCISCO SILVA PIRES</t>
        </is>
      </c>
      <c r="E320" s="87" t="inlineStr">
        <is>
          <t>Itaú</t>
        </is>
      </c>
      <c r="F320" s="87" t="inlineStr">
        <is>
          <t>Jacqueline</t>
        </is>
      </c>
      <c r="G320" s="87" t="inlineStr">
        <is>
          <t>F</t>
        </is>
      </c>
      <c r="H320" s="80" t="n"/>
      <c r="I320" s="87" t="n"/>
      <c r="J320" s="87" t="inlineStr">
        <is>
          <t>Pendente</t>
        </is>
      </c>
      <c r="K320" s="60" t="n">
        <v>46107</v>
      </c>
      <c r="L320" s="87">
        <f>TEXT(A320,"mmmm")</f>
        <v/>
      </c>
    </row>
    <row r="321">
      <c r="A321" s="60" t="n">
        <v>46098</v>
      </c>
      <c r="B321" s="60" t="n">
        <v>46101</v>
      </c>
      <c r="C321" s="60" t="n">
        <v>46104</v>
      </c>
      <c r="D321" s="87" t="inlineStr">
        <is>
          <t>JANE SOUSA FRANCA</t>
        </is>
      </c>
      <c r="E321" s="87" t="inlineStr">
        <is>
          <t>Azul</t>
        </is>
      </c>
      <c r="F321" s="87" t="inlineStr">
        <is>
          <t>Leticia</t>
        </is>
      </c>
      <c r="G321" s="87" t="inlineStr">
        <is>
          <t>F</t>
        </is>
      </c>
      <c r="H321" s="80" t="n"/>
      <c r="I321" s="87" t="n"/>
      <c r="J321" s="87" t="inlineStr">
        <is>
          <t>Pendente</t>
        </is>
      </c>
      <c r="K321" s="60" t="n">
        <v>46107</v>
      </c>
      <c r="L321" s="87">
        <f>TEXT(A321,"mmmm")</f>
        <v/>
      </c>
    </row>
    <row r="322">
      <c r="A322" s="60" t="n">
        <v>46098</v>
      </c>
      <c r="B322" s="60" t="n">
        <v>46101</v>
      </c>
      <c r="C322" s="60" t="n">
        <v>46104</v>
      </c>
      <c r="D322" s="87" t="inlineStr">
        <is>
          <t>ROGIMAR BRITO NERE</t>
        </is>
      </c>
      <c r="E322" s="87" t="inlineStr">
        <is>
          <t>Azul</t>
        </is>
      </c>
      <c r="F322" s="87" t="inlineStr">
        <is>
          <t>Leticia</t>
        </is>
      </c>
      <c r="G322" s="87" t="inlineStr">
        <is>
          <t>F</t>
        </is>
      </c>
      <c r="H322" s="80" t="n"/>
      <c r="I322" s="87" t="n"/>
      <c r="J322" s="87" t="inlineStr">
        <is>
          <t>Pendente</t>
        </is>
      </c>
      <c r="K322" s="60" t="n">
        <v>46107</v>
      </c>
      <c r="L322" s="87">
        <f>TEXT(A322,"mmmm")</f>
        <v/>
      </c>
    </row>
    <row r="323">
      <c r="A323" s="60" t="n">
        <v>46098</v>
      </c>
      <c r="B323" s="60" t="n">
        <v>46101</v>
      </c>
      <c r="C323" s="60" t="n">
        <v>46104</v>
      </c>
      <c r="D323" s="87" t="inlineStr">
        <is>
          <t>CLAUDIA APARECIDA FERREIRA DE CARVALHO</t>
        </is>
      </c>
      <c r="E323" s="87" t="inlineStr">
        <is>
          <t>Suhai</t>
        </is>
      </c>
      <c r="F323" s="87" t="inlineStr">
        <is>
          <t>John</t>
        </is>
      </c>
      <c r="G323" s="87" t="inlineStr">
        <is>
          <t>M</t>
        </is>
      </c>
      <c r="H323" s="80" t="n"/>
      <c r="I323" s="87" t="n"/>
      <c r="J323" s="87" t="inlineStr">
        <is>
          <t>Pendente</t>
        </is>
      </c>
      <c r="K323" s="60" t="n">
        <v>46107</v>
      </c>
      <c r="L323" s="87">
        <f>TEXT(A323,"mmmm")</f>
        <v/>
      </c>
    </row>
    <row r="324">
      <c r="A324" s="60" t="n">
        <v>46098</v>
      </c>
      <c r="B324" s="60" t="n">
        <v>46101</v>
      </c>
      <c r="C324" s="60" t="n">
        <v>46104</v>
      </c>
      <c r="D324" s="87" t="inlineStr">
        <is>
          <t>VAGNER CORDEIRO LAURENTINO</t>
        </is>
      </c>
      <c r="E324" s="87" t="inlineStr">
        <is>
          <t>Suhai</t>
        </is>
      </c>
      <c r="F324" s="87" t="inlineStr">
        <is>
          <t>Enzo</t>
        </is>
      </c>
      <c r="G324" s="87" t="inlineStr">
        <is>
          <t>M</t>
        </is>
      </c>
      <c r="H324" s="80" t="n"/>
      <c r="I324" s="87" t="n"/>
      <c r="J324" s="87" t="inlineStr">
        <is>
          <t>Pendente</t>
        </is>
      </c>
      <c r="K324" s="60" t="n">
        <v>46107</v>
      </c>
      <c r="L324" s="87">
        <f>TEXT(A324,"mmmm")</f>
        <v/>
      </c>
    </row>
    <row r="325">
      <c r="A325" s="60" t="n">
        <v>46098</v>
      </c>
      <c r="B325" s="60" t="n">
        <v>46101</v>
      </c>
      <c r="C325" s="60" t="n">
        <v>46104</v>
      </c>
      <c r="D325" s="87" t="inlineStr">
        <is>
          <t>FRANCISCO GOMES DE ALENCAR</t>
        </is>
      </c>
      <c r="E325" s="87" t="inlineStr">
        <is>
          <t>Azul</t>
        </is>
      </c>
      <c r="F325" s="87" t="inlineStr">
        <is>
          <t>Enzo</t>
        </is>
      </c>
      <c r="G325" s="87" t="inlineStr">
        <is>
          <t>M</t>
        </is>
      </c>
      <c r="H325" s="80" t="n"/>
      <c r="I325" s="87" t="n"/>
      <c r="J325" s="87" t="inlineStr">
        <is>
          <t>Pendente</t>
        </is>
      </c>
      <c r="K325" s="60" t="n">
        <v>46107</v>
      </c>
      <c r="L325" s="87">
        <f>TEXT(A325,"mmmm")</f>
        <v/>
      </c>
    </row>
    <row r="326">
      <c r="A326" s="60" t="n">
        <v>46098</v>
      </c>
      <c r="B326" s="60" t="n">
        <v>46101</v>
      </c>
      <c r="C326" s="60" t="n">
        <v>46104</v>
      </c>
      <c r="D326" s="87" t="inlineStr">
        <is>
          <t>MARCOS ROBERTO BAPTISTA</t>
        </is>
      </c>
      <c r="E326" s="87" t="inlineStr">
        <is>
          <t>Azul</t>
        </is>
      </c>
      <c r="F326" s="87" t="inlineStr">
        <is>
          <t>Jacqueline</t>
        </is>
      </c>
      <c r="G326" s="87" t="inlineStr">
        <is>
          <t>F</t>
        </is>
      </c>
      <c r="H326" s="80" t="n"/>
      <c r="I326" s="87" t="n"/>
      <c r="J326" s="87" t="inlineStr">
        <is>
          <t>Pendente</t>
        </is>
      </c>
      <c r="K326" s="60" t="n">
        <v>46107</v>
      </c>
      <c r="L326" s="87">
        <f>TEXT(A326,"mmmm")</f>
        <v/>
      </c>
    </row>
    <row r="327">
      <c r="A327" s="60" t="n">
        <v>46098</v>
      </c>
      <c r="B327" s="60" t="n">
        <v>46101</v>
      </c>
      <c r="C327" s="60" t="n">
        <v>46104</v>
      </c>
      <c r="D327" s="87" t="inlineStr">
        <is>
          <t>CLAUDIA AMORIM DE CASTRO E SILVA</t>
        </is>
      </c>
      <c r="E327" s="87" t="inlineStr">
        <is>
          <t>Porto</t>
        </is>
      </c>
      <c r="F327" s="87" t="inlineStr">
        <is>
          <t>Jacqueline</t>
        </is>
      </c>
      <c r="G327" s="87" t="inlineStr">
        <is>
          <t>F</t>
        </is>
      </c>
      <c r="H327" s="80" t="n"/>
      <c r="I327" s="87" t="n"/>
      <c r="J327" s="87" t="inlineStr">
        <is>
          <t>Pendente</t>
        </is>
      </c>
      <c r="K327" s="60" t="n">
        <v>46107</v>
      </c>
      <c r="L327" s="87">
        <f>TEXT(A327,"mmmm")</f>
        <v/>
      </c>
    </row>
    <row r="328">
      <c r="A328" s="60" t="n">
        <v>46099</v>
      </c>
      <c r="B328" s="60" t="n">
        <v>46102</v>
      </c>
      <c r="C328" s="60" t="n">
        <v>46105</v>
      </c>
      <c r="D328" s="87" t="inlineStr">
        <is>
          <t>DANIEL SANCHES</t>
        </is>
      </c>
      <c r="E328" s="87" t="inlineStr">
        <is>
          <t>Porto</t>
        </is>
      </c>
      <c r="F328" s="87" t="inlineStr">
        <is>
          <t>Leticia</t>
        </is>
      </c>
      <c r="G328" s="87" t="inlineStr">
        <is>
          <t>F</t>
        </is>
      </c>
      <c r="H328" s="80" t="n"/>
      <c r="I328" s="87" t="n"/>
      <c r="J328" s="87" t="inlineStr">
        <is>
          <t>Pendente</t>
        </is>
      </c>
      <c r="K328" s="60" t="n">
        <v>46108</v>
      </c>
      <c r="L328" s="87">
        <f>TEXT(A328,"mmmm")</f>
        <v/>
      </c>
    </row>
    <row r="329">
      <c r="A329" s="60" t="n">
        <v>46099</v>
      </c>
      <c r="B329" s="60" t="n">
        <v>46102</v>
      </c>
      <c r="C329" s="60" t="n">
        <v>46105</v>
      </c>
      <c r="D329" s="87" t="inlineStr">
        <is>
          <t>MARINA SANTOS VIANA ARAUJO</t>
        </is>
      </c>
      <c r="E329" s="87" t="inlineStr">
        <is>
          <t>Tokio</t>
        </is>
      </c>
      <c r="F329" s="87" t="inlineStr">
        <is>
          <t>John</t>
        </is>
      </c>
      <c r="G329" s="87" t="inlineStr">
        <is>
          <t>M</t>
        </is>
      </c>
      <c r="H329" s="80" t="n"/>
      <c r="I329" s="87" t="n"/>
      <c r="J329" s="87" t="inlineStr">
        <is>
          <t>Pendente</t>
        </is>
      </c>
      <c r="K329" s="60" t="n">
        <v>46108</v>
      </c>
      <c r="L329" s="87">
        <f>TEXT(A329,"mmmm")</f>
        <v/>
      </c>
    </row>
    <row r="330">
      <c r="A330" s="60" t="n">
        <v>46099</v>
      </c>
      <c r="B330" s="60" t="n">
        <v>46102</v>
      </c>
      <c r="C330" s="60" t="n">
        <v>46105</v>
      </c>
      <c r="D330" s="87" t="inlineStr">
        <is>
          <t>ALINE FERRAZ DOS SANTOS</t>
        </is>
      </c>
      <c r="E330" s="87" t="inlineStr">
        <is>
          <t>Allianz</t>
        </is>
      </c>
      <c r="F330" s="87" t="inlineStr">
        <is>
          <t>John</t>
        </is>
      </c>
      <c r="G330" s="87" t="inlineStr">
        <is>
          <t>M</t>
        </is>
      </c>
      <c r="H330" s="80" t="n"/>
      <c r="I330" s="87" t="n"/>
      <c r="J330" s="87" t="inlineStr">
        <is>
          <t>Pendente</t>
        </is>
      </c>
      <c r="K330" s="60" t="n">
        <v>46108</v>
      </c>
      <c r="L330" s="87">
        <f>TEXT(A330,"mmmm")</f>
        <v/>
      </c>
    </row>
    <row r="331">
      <c r="A331" s="60" t="n">
        <v>46099</v>
      </c>
      <c r="B331" s="60" t="n">
        <v>46102</v>
      </c>
      <c r="C331" s="60" t="n">
        <v>46105</v>
      </c>
      <c r="D331" s="87" t="inlineStr">
        <is>
          <t>EDILSON CHAVES DOS REIS</t>
        </is>
      </c>
      <c r="E331" s="87" t="inlineStr">
        <is>
          <t>Azul</t>
        </is>
      </c>
      <c r="F331" s="87" t="inlineStr">
        <is>
          <t>Myrelle</t>
        </is>
      </c>
      <c r="G331" s="87" t="inlineStr">
        <is>
          <t>F</t>
        </is>
      </c>
      <c r="H331" s="80" t="n"/>
      <c r="I331" s="87" t="n"/>
      <c r="J331" s="87" t="inlineStr">
        <is>
          <t>Pendente</t>
        </is>
      </c>
      <c r="K331" s="60" t="n">
        <v>46108</v>
      </c>
      <c r="L331" s="87">
        <f>TEXT(A331,"mmmm")</f>
        <v/>
      </c>
    </row>
    <row r="332">
      <c r="A332" s="60" t="n">
        <v>46099</v>
      </c>
      <c r="B332" s="60" t="n">
        <v>46102</v>
      </c>
      <c r="C332" s="60" t="n">
        <v>46105</v>
      </c>
      <c r="D332" s="87" t="inlineStr">
        <is>
          <t>APARECIDO THEODORO</t>
        </is>
      </c>
      <c r="E332" s="87" t="inlineStr">
        <is>
          <t>Azul</t>
        </is>
      </c>
      <c r="F332" s="87" t="inlineStr">
        <is>
          <t>Jacqueline</t>
        </is>
      </c>
      <c r="G332" s="87" t="inlineStr">
        <is>
          <t>F</t>
        </is>
      </c>
      <c r="H332" s="80" t="n"/>
      <c r="I332" s="87" t="n"/>
      <c r="J332" s="87" t="inlineStr">
        <is>
          <t>Pendente</t>
        </is>
      </c>
      <c r="K332" s="60" t="n">
        <v>46108</v>
      </c>
      <c r="L332" s="87">
        <f>TEXT(A332,"mmmm")</f>
        <v/>
      </c>
    </row>
    <row r="333">
      <c r="A333" s="60" t="n">
        <v>46099</v>
      </c>
      <c r="B333" s="60" t="n">
        <v>46102</v>
      </c>
      <c r="C333" s="60" t="n">
        <v>46105</v>
      </c>
      <c r="D333" s="87" t="inlineStr">
        <is>
          <t>FABIANA PEREIRA DOS SANTOS</t>
        </is>
      </c>
      <c r="E333" s="87" t="inlineStr">
        <is>
          <t>Azul</t>
        </is>
      </c>
      <c r="F333" s="87" t="inlineStr">
        <is>
          <t>John</t>
        </is>
      </c>
      <c r="G333" s="87" t="inlineStr">
        <is>
          <t>M</t>
        </is>
      </c>
      <c r="H333" s="80" t="n"/>
      <c r="I333" s="87" t="n"/>
      <c r="J333" s="87" t="inlineStr">
        <is>
          <t>Pendente</t>
        </is>
      </c>
      <c r="K333" s="60" t="n">
        <v>46108</v>
      </c>
      <c r="L333" s="87">
        <f>TEXT(A333,"mmmm")</f>
        <v/>
      </c>
    </row>
    <row r="334">
      <c r="A334" s="60" t="n">
        <v>46099</v>
      </c>
      <c r="B334" s="60" t="n">
        <v>46102</v>
      </c>
      <c r="C334" s="60" t="n">
        <v>46105</v>
      </c>
      <c r="D334" s="87" t="inlineStr">
        <is>
          <t>GILVAN PURISSIMO DA SILVA</t>
        </is>
      </c>
      <c r="E334" s="87" t="inlineStr">
        <is>
          <t>Mapfre</t>
        </is>
      </c>
      <c r="F334" s="87" t="inlineStr">
        <is>
          <t>Jacqueline</t>
        </is>
      </c>
      <c r="G334" s="87" t="inlineStr">
        <is>
          <t>F</t>
        </is>
      </c>
      <c r="H334" s="80" t="n"/>
      <c r="I334" s="87" t="n"/>
      <c r="J334" s="87" t="inlineStr">
        <is>
          <t>Pendente</t>
        </is>
      </c>
      <c r="K334" s="60" t="n">
        <v>46108</v>
      </c>
      <c r="L334" s="87">
        <f>TEXT(A334,"mmmm")</f>
        <v/>
      </c>
    </row>
    <row r="335">
      <c r="A335" s="60" t="n">
        <v>46099</v>
      </c>
      <c r="B335" s="60" t="n">
        <v>46102</v>
      </c>
      <c r="C335" s="60" t="n">
        <v>46105</v>
      </c>
      <c r="D335" s="87" t="inlineStr">
        <is>
          <t>OSVALDO APARECIDO ROMAO</t>
        </is>
      </c>
      <c r="E335" s="87" t="inlineStr">
        <is>
          <t>Azul</t>
        </is>
      </c>
      <c r="F335" s="87" t="inlineStr">
        <is>
          <t>John</t>
        </is>
      </c>
      <c r="G335" s="87" t="inlineStr">
        <is>
          <t>M</t>
        </is>
      </c>
      <c r="H335" s="80" t="n"/>
      <c r="I335" s="87" t="n"/>
      <c r="J335" s="87" t="inlineStr">
        <is>
          <t>Pendente</t>
        </is>
      </c>
      <c r="K335" s="60" t="n">
        <v>46108</v>
      </c>
      <c r="L335" s="87">
        <f>TEXT(A335,"mmmm")</f>
        <v/>
      </c>
    </row>
    <row r="336">
      <c r="A336" s="60" t="n">
        <v>46099</v>
      </c>
      <c r="B336" s="60" t="n">
        <v>46102</v>
      </c>
      <c r="C336" s="60" t="n">
        <v>46105</v>
      </c>
      <c r="D336" s="87" t="inlineStr">
        <is>
          <t>GABRIEL FELIPE GONCALVES</t>
        </is>
      </c>
      <c r="E336" s="87" t="inlineStr">
        <is>
          <t>Tokio</t>
        </is>
      </c>
      <c r="F336" s="87" t="inlineStr">
        <is>
          <t>John</t>
        </is>
      </c>
      <c r="G336" s="87" t="inlineStr">
        <is>
          <t>M</t>
        </is>
      </c>
      <c r="H336" s="80" t="n"/>
      <c r="I336" s="87" t="n"/>
      <c r="J336" s="87" t="inlineStr">
        <is>
          <t>Pendente</t>
        </is>
      </c>
      <c r="K336" s="60" t="n">
        <v>46108</v>
      </c>
      <c r="L336" s="87">
        <f>TEXT(A336,"mmmm")</f>
        <v/>
      </c>
    </row>
    <row r="337">
      <c r="A337" s="60" t="n">
        <v>46099</v>
      </c>
      <c r="B337" s="60" t="n">
        <v>46102</v>
      </c>
      <c r="C337" s="60" t="n">
        <v>46105</v>
      </c>
      <c r="D337" s="87" t="inlineStr">
        <is>
          <t>VANDERLEI BARBOSA DE OLIVEIRA</t>
        </is>
      </c>
      <c r="E337" s="87" t="inlineStr">
        <is>
          <t>Porto</t>
        </is>
      </c>
      <c r="F337" s="87" t="inlineStr">
        <is>
          <t>John</t>
        </is>
      </c>
      <c r="G337" s="87" t="inlineStr">
        <is>
          <t>M</t>
        </is>
      </c>
      <c r="H337" s="80" t="n"/>
      <c r="I337" s="87" t="n"/>
      <c r="J337" s="87" t="inlineStr">
        <is>
          <t>Pendente</t>
        </is>
      </c>
      <c r="K337" s="60" t="n">
        <v>46108</v>
      </c>
      <c r="L337" s="87">
        <f>TEXT(A337,"mmmm")</f>
        <v/>
      </c>
    </row>
    <row r="338">
      <c r="A338" s="60" t="n">
        <v>46100</v>
      </c>
      <c r="B338" s="60" t="n">
        <v>46103</v>
      </c>
      <c r="C338" s="60" t="n">
        <v>46106</v>
      </c>
      <c r="D338" s="87" t="inlineStr">
        <is>
          <t>JOSE ROGERIO DOS SANTOS</t>
        </is>
      </c>
      <c r="E338" s="87" t="inlineStr">
        <is>
          <t>Azul</t>
        </is>
      </c>
      <c r="F338" s="87" t="inlineStr">
        <is>
          <t>Myrelle</t>
        </is>
      </c>
      <c r="G338" s="87" t="inlineStr">
        <is>
          <t>F</t>
        </is>
      </c>
      <c r="H338" s="80" t="n"/>
      <c r="I338" s="87" t="n"/>
      <c r="J338" s="87" t="inlineStr">
        <is>
          <t>Pendente</t>
        </is>
      </c>
      <c r="K338" s="60" t="n">
        <v>46109</v>
      </c>
      <c r="L338" s="87">
        <f>TEXT(A338,"mmmm")</f>
        <v/>
      </c>
    </row>
    <row r="339">
      <c r="A339" s="60" t="n">
        <v>46100</v>
      </c>
      <c r="B339" s="60" t="n">
        <v>46103</v>
      </c>
      <c r="C339" s="60" t="n">
        <v>46106</v>
      </c>
      <c r="D339" s="87" t="inlineStr">
        <is>
          <t>AURENI PEREIRA DE SOUZA</t>
        </is>
      </c>
      <c r="E339" s="87" t="inlineStr">
        <is>
          <t>Porto</t>
        </is>
      </c>
      <c r="F339" s="87" t="inlineStr">
        <is>
          <t>John</t>
        </is>
      </c>
      <c r="G339" s="87" t="inlineStr">
        <is>
          <t>M</t>
        </is>
      </c>
      <c r="H339" s="80" t="n"/>
      <c r="I339" s="87" t="n"/>
      <c r="J339" s="87" t="inlineStr">
        <is>
          <t>Pendente</t>
        </is>
      </c>
      <c r="K339" s="60" t="n">
        <v>46109</v>
      </c>
      <c r="L339" s="87">
        <f>TEXT(A339,"mmmm")</f>
        <v/>
      </c>
    </row>
    <row r="340">
      <c r="A340" s="60" t="n">
        <v>46100</v>
      </c>
      <c r="B340" s="60" t="n">
        <v>46103</v>
      </c>
      <c r="C340" s="60" t="n">
        <v>46106</v>
      </c>
      <c r="D340" s="87" t="inlineStr">
        <is>
          <t>AURENI PEREIRA DE SOUZA</t>
        </is>
      </c>
      <c r="E340" s="87" t="inlineStr">
        <is>
          <t>Porto</t>
        </is>
      </c>
      <c r="F340" s="87" t="inlineStr">
        <is>
          <t>John</t>
        </is>
      </c>
      <c r="G340" s="87" t="inlineStr">
        <is>
          <t>M</t>
        </is>
      </c>
      <c r="H340" s="80" t="n"/>
      <c r="I340" s="87" t="n"/>
      <c r="J340" s="87" t="inlineStr">
        <is>
          <t>Pendente</t>
        </is>
      </c>
      <c r="K340" s="60" t="n">
        <v>46109</v>
      </c>
      <c r="L340" s="87">
        <f>TEXT(A340,"mmmm")</f>
        <v/>
      </c>
    </row>
    <row r="341">
      <c r="A341" s="60" t="n">
        <v>46100</v>
      </c>
      <c r="B341" s="60" t="n">
        <v>46103</v>
      </c>
      <c r="C341" s="60" t="n">
        <v>46106</v>
      </c>
      <c r="D341" s="87" t="inlineStr">
        <is>
          <t>LARISSA CRISTINA ROCHA DA SILVA</t>
        </is>
      </c>
      <c r="E341" s="87" t="inlineStr">
        <is>
          <t>Porto</t>
        </is>
      </c>
      <c r="F341" s="87" t="inlineStr">
        <is>
          <t>John</t>
        </is>
      </c>
      <c r="G341" s="87" t="inlineStr">
        <is>
          <t>M</t>
        </is>
      </c>
      <c r="H341" s="80" t="n"/>
      <c r="I341" s="87" t="n"/>
      <c r="J341" s="87" t="inlineStr">
        <is>
          <t>Pendente</t>
        </is>
      </c>
      <c r="K341" s="60" t="n">
        <v>46109</v>
      </c>
      <c r="L341" s="87">
        <f>TEXT(A341,"mmmm")</f>
        <v/>
      </c>
    </row>
    <row r="342">
      <c r="A342" s="60" t="n">
        <v>46100</v>
      </c>
      <c r="B342" s="60" t="n">
        <v>46103</v>
      </c>
      <c r="C342" s="60" t="n">
        <v>46106</v>
      </c>
      <c r="D342" s="87" t="inlineStr">
        <is>
          <t>IVETE HENRIQUE</t>
        </is>
      </c>
      <c r="E342" s="87" t="inlineStr">
        <is>
          <t>Azul</t>
        </is>
      </c>
      <c r="F342" s="87" t="inlineStr">
        <is>
          <t>John</t>
        </is>
      </c>
      <c r="G342" s="87" t="inlineStr">
        <is>
          <t>M</t>
        </is>
      </c>
      <c r="H342" s="80" t="n"/>
      <c r="I342" s="87" t="n"/>
      <c r="J342" s="87" t="inlineStr">
        <is>
          <t>Pendente</t>
        </is>
      </c>
      <c r="K342" s="60" t="n">
        <v>46109</v>
      </c>
      <c r="L342" s="87">
        <f>TEXT(A342,"mmmm")</f>
        <v/>
      </c>
    </row>
    <row r="343">
      <c r="A343" s="60" t="n">
        <v>46100</v>
      </c>
      <c r="B343" s="60" t="n">
        <v>46103</v>
      </c>
      <c r="C343" s="60" t="n">
        <v>46106</v>
      </c>
      <c r="D343" s="87" t="inlineStr">
        <is>
          <t>JOSE LEANDRO OLIVEIRA DA SILVA</t>
        </is>
      </c>
      <c r="E343" s="87" t="inlineStr">
        <is>
          <t>Azul</t>
        </is>
      </c>
      <c r="F343" s="87" t="inlineStr">
        <is>
          <t>Enzo</t>
        </is>
      </c>
      <c r="G343" s="87" t="inlineStr">
        <is>
          <t>M</t>
        </is>
      </c>
      <c r="H343" s="80" t="n"/>
      <c r="I343" s="87" t="n"/>
      <c r="J343" s="87" t="inlineStr">
        <is>
          <t>Pendente</t>
        </is>
      </c>
      <c r="K343" s="60" t="n">
        <v>46109</v>
      </c>
      <c r="L343" s="87">
        <f>TEXT(A343,"mmmm")</f>
        <v/>
      </c>
    </row>
    <row r="344">
      <c r="A344" s="60" t="n">
        <v>46100</v>
      </c>
      <c r="B344" s="60" t="n">
        <v>46103</v>
      </c>
      <c r="C344" s="60" t="n">
        <v>46106</v>
      </c>
      <c r="D344" s="87" t="inlineStr">
        <is>
          <t>ADAO APOLONIO DA SILVA</t>
        </is>
      </c>
      <c r="E344" s="87" t="inlineStr">
        <is>
          <t>Suhai</t>
        </is>
      </c>
      <c r="F344" s="87" t="inlineStr">
        <is>
          <t>Enzo</t>
        </is>
      </c>
      <c r="G344" s="87" t="inlineStr">
        <is>
          <t>M</t>
        </is>
      </c>
      <c r="H344" s="80" t="n"/>
      <c r="I344" s="87" t="n"/>
      <c r="J344" s="87" t="inlineStr">
        <is>
          <t>Pendente</t>
        </is>
      </c>
      <c r="K344" s="60" t="n">
        <v>46109</v>
      </c>
      <c r="L344" s="87">
        <f>TEXT(A344,"mmmm")</f>
        <v/>
      </c>
    </row>
    <row r="345">
      <c r="A345" s="60" t="n">
        <v>46100</v>
      </c>
      <c r="B345" s="60" t="n">
        <v>46103</v>
      </c>
      <c r="C345" s="60" t="n">
        <v>46106</v>
      </c>
      <c r="D345" s="87" t="inlineStr">
        <is>
          <t>THAIS ANDREZA RODRIGUES DA</t>
        </is>
      </c>
      <c r="E345" s="87" t="inlineStr">
        <is>
          <t>Mapfre</t>
        </is>
      </c>
      <c r="F345" s="87" t="inlineStr">
        <is>
          <t>Jacqueline</t>
        </is>
      </c>
      <c r="G345" s="87" t="inlineStr">
        <is>
          <t>F</t>
        </is>
      </c>
      <c r="H345" s="80" t="n"/>
      <c r="I345" s="87" t="n"/>
      <c r="J345" s="87" t="inlineStr">
        <is>
          <t>Pendente</t>
        </is>
      </c>
      <c r="K345" s="60" t="n">
        <v>46109</v>
      </c>
      <c r="L345" s="87">
        <f>TEXT(A345,"mmmm")</f>
        <v/>
      </c>
    </row>
    <row r="346">
      <c r="A346" s="60" t="n">
        <v>46100</v>
      </c>
      <c r="B346" s="60" t="n">
        <v>46103</v>
      </c>
      <c r="C346" s="60" t="n">
        <v>46106</v>
      </c>
      <c r="D346" s="87" t="inlineStr">
        <is>
          <t>HUDSON OSVALDO DA SILVA CORTIZ</t>
        </is>
      </c>
      <c r="E346" s="87" t="inlineStr">
        <is>
          <t>Suhai</t>
        </is>
      </c>
      <c r="F346" s="87" t="inlineStr">
        <is>
          <t>Jéssica</t>
        </is>
      </c>
      <c r="G346" s="87" t="inlineStr">
        <is>
          <t>F</t>
        </is>
      </c>
      <c r="H346" s="80" t="n"/>
      <c r="I346" s="87" t="n"/>
      <c r="J346" s="87" t="inlineStr">
        <is>
          <t>Pendente</t>
        </is>
      </c>
      <c r="K346" s="60" t="n">
        <v>46109</v>
      </c>
      <c r="L346" s="87">
        <f>TEXT(A346,"mmmm")</f>
        <v/>
      </c>
    </row>
    <row r="347">
      <c r="A347" s="60" t="n">
        <v>46100</v>
      </c>
      <c r="B347" s="60" t="n">
        <v>46103</v>
      </c>
      <c r="C347" s="60" t="n">
        <v>46106</v>
      </c>
      <c r="D347" s="87" t="inlineStr">
        <is>
          <t>MARCIO ALESSANDRO ALVES</t>
        </is>
      </c>
      <c r="E347" s="87" t="inlineStr">
        <is>
          <t>Suhai</t>
        </is>
      </c>
      <c r="F347" s="87" t="inlineStr">
        <is>
          <t>Jéssica</t>
        </is>
      </c>
      <c r="G347" s="87" t="inlineStr">
        <is>
          <t>F</t>
        </is>
      </c>
      <c r="H347" s="80" t="n"/>
      <c r="I347" s="87" t="n"/>
      <c r="J347" s="87" t="inlineStr">
        <is>
          <t>Pendente</t>
        </is>
      </c>
      <c r="K347" s="60" t="n">
        <v>46109</v>
      </c>
      <c r="L347" s="87">
        <f>TEXT(A347,"mmmm")</f>
        <v/>
      </c>
    </row>
    <row r="348">
      <c r="A348" s="60" t="n">
        <v>46100</v>
      </c>
      <c r="B348" s="60" t="n">
        <v>46103</v>
      </c>
      <c r="C348" s="60" t="n">
        <v>46106</v>
      </c>
      <c r="D348" s="87" t="inlineStr">
        <is>
          <t>PEDRO PAULO DA SILVA</t>
        </is>
      </c>
      <c r="E348" s="87" t="inlineStr">
        <is>
          <t>Azul</t>
        </is>
      </c>
      <c r="F348" s="87" t="inlineStr">
        <is>
          <t>John</t>
        </is>
      </c>
      <c r="G348" s="87" t="inlineStr">
        <is>
          <t>M</t>
        </is>
      </c>
      <c r="H348" s="80" t="n"/>
      <c r="I348" s="87" t="n"/>
      <c r="J348" s="87" t="inlineStr">
        <is>
          <t>Pendente</t>
        </is>
      </c>
      <c r="K348" s="60" t="n">
        <v>46109</v>
      </c>
      <c r="L348" s="87">
        <f>TEXT(A348,"mmmm")</f>
        <v/>
      </c>
    </row>
    <row r="349">
      <c r="A349" s="60" t="n">
        <v>46100</v>
      </c>
      <c r="B349" s="60" t="n">
        <v>46103</v>
      </c>
      <c r="C349" s="60" t="n">
        <v>46106</v>
      </c>
      <c r="D349" s="87" t="inlineStr">
        <is>
          <t>KAIQUE LOPES DE OLIVEIRA</t>
        </is>
      </c>
      <c r="E349" s="87" t="inlineStr">
        <is>
          <t>Suhai</t>
        </is>
      </c>
      <c r="F349" s="87" t="inlineStr">
        <is>
          <t>Jacqueline</t>
        </is>
      </c>
      <c r="G349" s="87" t="inlineStr">
        <is>
          <t>F</t>
        </is>
      </c>
      <c r="H349" s="80" t="n"/>
      <c r="I349" s="87" t="n"/>
      <c r="J349" s="87" t="inlineStr">
        <is>
          <t>Pendente</t>
        </is>
      </c>
      <c r="K349" s="60" t="n">
        <v>46109</v>
      </c>
      <c r="L349" s="87">
        <f>TEXT(A349,"mmmm")</f>
        <v/>
      </c>
    </row>
    <row r="350">
      <c r="A350" s="60" t="n">
        <v>46100</v>
      </c>
      <c r="B350" s="60" t="n">
        <v>46103</v>
      </c>
      <c r="C350" s="60" t="n">
        <v>46106</v>
      </c>
      <c r="D350" s="87" t="inlineStr">
        <is>
          <t>EDMILSON DE ARAUJO SILVA</t>
        </is>
      </c>
      <c r="E350" s="87" t="inlineStr">
        <is>
          <t>Azul</t>
        </is>
      </c>
      <c r="F350" s="87" t="inlineStr">
        <is>
          <t>Jacqueline</t>
        </is>
      </c>
      <c r="G350" s="87" t="inlineStr">
        <is>
          <t>F</t>
        </is>
      </c>
      <c r="H350" s="80" t="n"/>
      <c r="I350" s="87" t="n"/>
      <c r="J350" s="87" t="inlineStr">
        <is>
          <t>Pendente</t>
        </is>
      </c>
      <c r="K350" s="60" t="n">
        <v>46109</v>
      </c>
      <c r="L350" s="87">
        <f>TEXT(A350,"mmmm")</f>
        <v/>
      </c>
    </row>
    <row r="351">
      <c r="A351" s="60" t="n">
        <v>46100</v>
      </c>
      <c r="B351" s="60" t="n">
        <v>46103</v>
      </c>
      <c r="C351" s="60" t="n">
        <v>46106</v>
      </c>
      <c r="D351" s="87" t="inlineStr">
        <is>
          <t>DIEGO DE OLIVEIRA SANTOS</t>
        </is>
      </c>
      <c r="E351" s="87" t="inlineStr">
        <is>
          <t>Tokio</t>
        </is>
      </c>
      <c r="F351" s="87" t="inlineStr">
        <is>
          <t>Leticia</t>
        </is>
      </c>
      <c r="G351" s="87" t="inlineStr">
        <is>
          <t>F</t>
        </is>
      </c>
      <c r="H351" s="80" t="n"/>
      <c r="I351" s="87" t="n"/>
      <c r="J351" s="87" t="inlineStr">
        <is>
          <t>Pendente</t>
        </is>
      </c>
      <c r="K351" s="60" t="n">
        <v>46109</v>
      </c>
      <c r="L351" s="87">
        <f>TEXT(A351,"mmmm")</f>
        <v/>
      </c>
    </row>
    <row r="352">
      <c r="A352" s="60" t="n">
        <v>46101</v>
      </c>
      <c r="B352" s="60" t="n">
        <v>46104</v>
      </c>
      <c r="C352" s="60" t="n">
        <v>46107</v>
      </c>
      <c r="D352" s="87" t="inlineStr">
        <is>
          <t>ANTONIO SERGIO DOS SANTOS BENTO</t>
        </is>
      </c>
      <c r="E352" s="87" t="inlineStr">
        <is>
          <t>Suhai</t>
        </is>
      </c>
      <c r="F352" s="87" t="inlineStr">
        <is>
          <t>Myrelle</t>
        </is>
      </c>
      <c r="G352" s="87" t="inlineStr">
        <is>
          <t>F</t>
        </is>
      </c>
      <c r="H352" s="80" t="n"/>
      <c r="I352" s="87" t="n"/>
      <c r="J352" s="87" t="inlineStr">
        <is>
          <t>Pendente</t>
        </is>
      </c>
      <c r="K352" s="60" t="n">
        <v>46110</v>
      </c>
      <c r="L352" s="87">
        <f>TEXT(A352,"mmmm")</f>
        <v/>
      </c>
    </row>
    <row r="353">
      <c r="A353" s="60" t="n">
        <v>46101</v>
      </c>
      <c r="B353" s="60" t="n">
        <v>46104</v>
      </c>
      <c r="C353" s="60" t="n">
        <v>46107</v>
      </c>
      <c r="D353" s="87" t="inlineStr">
        <is>
          <t>UPPER TOUR LTDA</t>
        </is>
      </c>
      <c r="E353" s="87" t="inlineStr">
        <is>
          <t>Porto</t>
        </is>
      </c>
      <c r="F353" s="87" t="inlineStr">
        <is>
          <t>John</t>
        </is>
      </c>
      <c r="G353" s="87" t="inlineStr">
        <is>
          <t>M</t>
        </is>
      </c>
      <c r="H353" s="80" t="n"/>
      <c r="I353" s="87" t="n"/>
      <c r="J353" s="87" t="inlineStr">
        <is>
          <t>Pendente</t>
        </is>
      </c>
      <c r="K353" s="60" t="n">
        <v>46110</v>
      </c>
      <c r="L353" s="87">
        <f>TEXT(A353,"mmmm")</f>
        <v/>
      </c>
    </row>
    <row r="354">
      <c r="A354" s="60" t="n">
        <v>46101</v>
      </c>
      <c r="B354" s="60" t="n">
        <v>46104</v>
      </c>
      <c r="C354" s="60" t="n">
        <v>46107</v>
      </c>
      <c r="D354" s="87" t="inlineStr">
        <is>
          <t>RODRIGO FERREIRA DE SOUZA</t>
        </is>
      </c>
      <c r="E354" s="87" t="inlineStr">
        <is>
          <t>Yellum</t>
        </is>
      </c>
      <c r="F354" s="87" t="inlineStr">
        <is>
          <t>John</t>
        </is>
      </c>
      <c r="G354" s="87" t="inlineStr">
        <is>
          <t>M</t>
        </is>
      </c>
      <c r="H354" s="80" t="n"/>
      <c r="I354" s="87" t="n"/>
      <c r="J354" s="87" t="inlineStr">
        <is>
          <t>Pendente</t>
        </is>
      </c>
      <c r="K354" s="60" t="n">
        <v>46110</v>
      </c>
      <c r="L354" s="87">
        <f>TEXT(A354,"mmmm")</f>
        <v/>
      </c>
    </row>
    <row r="355">
      <c r="A355" s="60" t="n">
        <v>46101</v>
      </c>
      <c r="B355" s="60" t="n">
        <v>46104</v>
      </c>
      <c r="C355" s="60" t="n">
        <v>46107</v>
      </c>
      <c r="D355" s="87" t="inlineStr">
        <is>
          <t>REGINALDO DE CAMPOS MARIA</t>
        </is>
      </c>
      <c r="E355" s="87" t="inlineStr">
        <is>
          <t>Tokio</t>
        </is>
      </c>
      <c r="F355" s="87" t="inlineStr">
        <is>
          <t>John</t>
        </is>
      </c>
      <c r="G355" s="87" t="inlineStr">
        <is>
          <t>M</t>
        </is>
      </c>
      <c r="H355" s="80" t="n"/>
      <c r="I355" s="87" t="n"/>
      <c r="J355" s="87" t="inlineStr">
        <is>
          <t>Pendente</t>
        </is>
      </c>
      <c r="K355" s="60" t="n">
        <v>46110</v>
      </c>
      <c r="L355" s="87">
        <f>TEXT(A355,"mmmm")</f>
        <v/>
      </c>
    </row>
    <row r="356">
      <c r="A356" s="60" t="n">
        <v>46101</v>
      </c>
      <c r="B356" s="60" t="n">
        <v>46104</v>
      </c>
      <c r="C356" s="60" t="n">
        <v>46107</v>
      </c>
      <c r="D356" s="87" t="inlineStr">
        <is>
          <t>TIAGO DA SILVA COSTA</t>
        </is>
      </c>
      <c r="E356" s="87" t="inlineStr">
        <is>
          <t>Azul</t>
        </is>
      </c>
      <c r="F356" s="87" t="inlineStr">
        <is>
          <t>Enzo</t>
        </is>
      </c>
      <c r="G356" s="87" t="inlineStr">
        <is>
          <t>M</t>
        </is>
      </c>
      <c r="H356" s="80" t="n"/>
      <c r="I356" s="87" t="n"/>
      <c r="J356" s="87" t="inlineStr">
        <is>
          <t>Pendente</t>
        </is>
      </c>
      <c r="K356" s="60" t="n">
        <v>46110</v>
      </c>
      <c r="L356" s="87">
        <f>TEXT(A356,"mmmm")</f>
        <v/>
      </c>
    </row>
    <row r="357">
      <c r="A357" s="60" t="n">
        <v>46101</v>
      </c>
      <c r="B357" s="60" t="n">
        <v>46104</v>
      </c>
      <c r="C357" s="60" t="n">
        <v>46107</v>
      </c>
      <c r="D357" s="87" t="inlineStr">
        <is>
          <t>EDUARDO LUIS OLIBONI BASTOS</t>
        </is>
      </c>
      <c r="E357" s="87" t="inlineStr">
        <is>
          <t>Porto</t>
        </is>
      </c>
      <c r="F357" s="87" t="inlineStr">
        <is>
          <t>John</t>
        </is>
      </c>
      <c r="G357" s="87" t="inlineStr">
        <is>
          <t>M</t>
        </is>
      </c>
      <c r="H357" s="80" t="n"/>
      <c r="I357" s="87" t="n"/>
      <c r="J357" s="87" t="inlineStr">
        <is>
          <t>Pendente</t>
        </is>
      </c>
      <c r="K357" s="60" t="n">
        <v>46110</v>
      </c>
      <c r="L357" s="87">
        <f>TEXT(A357,"mmmm")</f>
        <v/>
      </c>
    </row>
    <row r="358">
      <c r="A358" s="60" t="n">
        <v>46101</v>
      </c>
      <c r="B358" s="60" t="n">
        <v>46104</v>
      </c>
      <c r="C358" s="60" t="n">
        <v>46107</v>
      </c>
      <c r="D358" s="87" t="inlineStr">
        <is>
          <t>ARIELA CRISTINA OHAMA BENTO</t>
        </is>
      </c>
      <c r="E358" s="87" t="inlineStr">
        <is>
          <t>Azul</t>
        </is>
      </c>
      <c r="F358" s="87" t="inlineStr">
        <is>
          <t>Myrelle</t>
        </is>
      </c>
      <c r="G358" s="87" t="inlineStr">
        <is>
          <t>F</t>
        </is>
      </c>
      <c r="H358" s="80" t="n"/>
      <c r="I358" s="87" t="n"/>
      <c r="J358" s="87" t="inlineStr">
        <is>
          <t>Pendente</t>
        </is>
      </c>
      <c r="K358" s="60" t="n">
        <v>46110</v>
      </c>
      <c r="L358" s="87">
        <f>TEXT(A358,"mmmm")</f>
        <v/>
      </c>
    </row>
    <row r="359">
      <c r="A359" s="60" t="n">
        <v>46101</v>
      </c>
      <c r="B359" s="60" t="n">
        <v>46104</v>
      </c>
      <c r="C359" s="60" t="n">
        <v>46107</v>
      </c>
      <c r="D359" s="87" t="inlineStr">
        <is>
          <t>JAIR CALLERO DE LIMA</t>
        </is>
      </c>
      <c r="E359" s="87" t="inlineStr">
        <is>
          <t>Azul</t>
        </is>
      </c>
      <c r="F359" s="87" t="inlineStr">
        <is>
          <t>Leticia</t>
        </is>
      </c>
      <c r="G359" s="87" t="inlineStr">
        <is>
          <t>F</t>
        </is>
      </c>
      <c r="H359" s="80" t="n"/>
      <c r="I359" s="87" t="n"/>
      <c r="J359" s="87" t="inlineStr">
        <is>
          <t>Pendente</t>
        </is>
      </c>
      <c r="K359" s="60" t="n">
        <v>46110</v>
      </c>
      <c r="L359" s="87">
        <f>TEXT(A359,"mmmm")</f>
        <v/>
      </c>
    </row>
    <row r="360">
      <c r="A360" s="60" t="n">
        <v>46101</v>
      </c>
      <c r="B360" s="60" t="n">
        <v>46104</v>
      </c>
      <c r="C360" s="60" t="n">
        <v>46107</v>
      </c>
      <c r="D360" s="87" t="inlineStr">
        <is>
          <t>LEOMAR DE JESUS LIMA</t>
        </is>
      </c>
      <c r="E360" s="87" t="inlineStr">
        <is>
          <t>Azul</t>
        </is>
      </c>
      <c r="F360" s="87" t="inlineStr">
        <is>
          <t>Leticia</t>
        </is>
      </c>
      <c r="G360" s="87" t="inlineStr">
        <is>
          <t>F</t>
        </is>
      </c>
      <c r="H360" s="80" t="n"/>
      <c r="I360" s="87" t="n"/>
      <c r="J360" s="87" t="inlineStr">
        <is>
          <t>Pendente</t>
        </is>
      </c>
      <c r="K360" s="60" t="n">
        <v>46110</v>
      </c>
      <c r="L360" s="87">
        <f>TEXT(A360,"mmmm")</f>
        <v/>
      </c>
    </row>
    <row r="361">
      <c r="A361" s="60" t="n">
        <v>46101</v>
      </c>
      <c r="B361" s="60" t="n">
        <v>46104</v>
      </c>
      <c r="C361" s="60" t="n">
        <v>46107</v>
      </c>
      <c r="D361" s="87" t="inlineStr">
        <is>
          <t>JAIR RODRIGUES ALVES</t>
        </is>
      </c>
      <c r="E361" s="87" t="inlineStr">
        <is>
          <t>Porto</t>
        </is>
      </c>
      <c r="F361" s="87" t="inlineStr">
        <is>
          <t>John</t>
        </is>
      </c>
      <c r="G361" s="87" t="inlineStr">
        <is>
          <t>M</t>
        </is>
      </c>
      <c r="H361" s="80" t="n"/>
      <c r="I361" s="87" t="n"/>
      <c r="J361" s="87" t="inlineStr">
        <is>
          <t>Pendente</t>
        </is>
      </c>
      <c r="K361" s="60" t="n">
        <v>46110</v>
      </c>
      <c r="L361" s="87">
        <f>TEXT(A361,"mmmm")</f>
        <v/>
      </c>
    </row>
    <row r="362">
      <c r="A362" s="60" t="n">
        <v>46101</v>
      </c>
      <c r="B362" s="60" t="n">
        <v>46104</v>
      </c>
      <c r="C362" s="60" t="n">
        <v>46107</v>
      </c>
      <c r="D362" s="87" t="inlineStr">
        <is>
          <t>MARCELA APARECIDA FERREIRA</t>
        </is>
      </c>
      <c r="E362" s="87" t="inlineStr">
        <is>
          <t>Tokio</t>
        </is>
      </c>
      <c r="F362" s="87" t="inlineStr">
        <is>
          <t>Jacqueline</t>
        </is>
      </c>
      <c r="G362" s="87" t="inlineStr">
        <is>
          <t>F</t>
        </is>
      </c>
      <c r="H362" s="80" t="n"/>
      <c r="I362" s="87" t="n"/>
      <c r="J362" s="87" t="inlineStr">
        <is>
          <t>Pendente</t>
        </is>
      </c>
      <c r="K362" s="60" t="n">
        <v>46110</v>
      </c>
      <c r="L362" s="87">
        <f>TEXT(A362,"mmmm")</f>
        <v/>
      </c>
    </row>
    <row r="363">
      <c r="A363" s="60" t="n">
        <v>46101</v>
      </c>
      <c r="B363" s="60" t="n">
        <v>46104</v>
      </c>
      <c r="C363" s="60" t="n">
        <v>46107</v>
      </c>
      <c r="D363" s="87" t="inlineStr">
        <is>
          <t>BRASILIANO DIONIZIO DE MORAIS NETO</t>
        </is>
      </c>
      <c r="E363" s="87" t="inlineStr">
        <is>
          <t>Suhai</t>
        </is>
      </c>
      <c r="F363" s="87" t="inlineStr">
        <is>
          <t>Leticia</t>
        </is>
      </c>
      <c r="G363" s="87" t="inlineStr">
        <is>
          <t>F</t>
        </is>
      </c>
      <c r="H363" s="80" t="n"/>
      <c r="I363" s="87" t="n"/>
      <c r="J363" s="87" t="inlineStr">
        <is>
          <t>Pendente</t>
        </is>
      </c>
      <c r="K363" s="60" t="n">
        <v>46110</v>
      </c>
      <c r="L363" s="87">
        <f>TEXT(A363,"mmmm")</f>
        <v/>
      </c>
    </row>
    <row r="364">
      <c r="A364" s="60" t="n">
        <v>46104</v>
      </c>
      <c r="B364" s="60" t="n">
        <v>46107</v>
      </c>
      <c r="C364" s="60" t="n">
        <v>46110</v>
      </c>
      <c r="D364" s="87" t="inlineStr">
        <is>
          <t>DANIELLE FERREIRA CRUZ SILVA</t>
        </is>
      </c>
      <c r="E364" s="87" t="inlineStr">
        <is>
          <t>Suhai</t>
        </is>
      </c>
      <c r="F364" s="87" t="inlineStr">
        <is>
          <t>Leticia</t>
        </is>
      </c>
      <c r="G364" s="87" t="inlineStr">
        <is>
          <t>F</t>
        </is>
      </c>
      <c r="H364" s="80" t="n"/>
      <c r="I364" s="87" t="n"/>
      <c r="J364" s="87" t="inlineStr">
        <is>
          <t>Pendente</t>
        </is>
      </c>
      <c r="K364" s="60" t="n">
        <v>46113</v>
      </c>
      <c r="L364" s="87">
        <f>TEXT(A364,"mmmm")</f>
        <v/>
      </c>
    </row>
    <row r="365">
      <c r="A365" s="60" t="n">
        <v>46104</v>
      </c>
      <c r="B365" s="60" t="n">
        <v>46107</v>
      </c>
      <c r="C365" s="60" t="n">
        <v>46110</v>
      </c>
      <c r="D365" s="87" t="inlineStr">
        <is>
          <t>FATIMA CARVALHO ANTONIO</t>
        </is>
      </c>
      <c r="E365" s="87" t="inlineStr">
        <is>
          <t>Allianz</t>
        </is>
      </c>
      <c r="F365" s="87" t="inlineStr">
        <is>
          <t>John</t>
        </is>
      </c>
      <c r="G365" s="87" t="inlineStr">
        <is>
          <t>M</t>
        </is>
      </c>
      <c r="H365" s="80" t="n"/>
      <c r="I365" s="87" t="n"/>
      <c r="J365" s="87" t="inlineStr">
        <is>
          <t>Pendente</t>
        </is>
      </c>
      <c r="K365" s="60" t="n">
        <v>46113</v>
      </c>
      <c r="L365" s="87">
        <f>TEXT(A365,"mmmm")</f>
        <v/>
      </c>
    </row>
    <row r="366">
      <c r="A366" s="60" t="n">
        <v>46104</v>
      </c>
      <c r="B366" s="60" t="n">
        <v>46107</v>
      </c>
      <c r="C366" s="60" t="n">
        <v>46110</v>
      </c>
      <c r="D366" s="87" t="inlineStr">
        <is>
          <t>AILTON BENJAMIM DA PAIXAO</t>
        </is>
      </c>
      <c r="E366" s="87" t="inlineStr">
        <is>
          <t>Azul</t>
        </is>
      </c>
      <c r="F366" s="87" t="inlineStr">
        <is>
          <t>Jacqueline</t>
        </is>
      </c>
      <c r="G366" s="87" t="inlineStr">
        <is>
          <t>F</t>
        </is>
      </c>
      <c r="H366" s="80" t="n"/>
      <c r="I366" s="87" t="n"/>
      <c r="J366" s="87" t="inlineStr">
        <is>
          <t>Pendente</t>
        </is>
      </c>
      <c r="K366" s="60" t="n">
        <v>46113</v>
      </c>
      <c r="L366" s="87">
        <f>TEXT(A366,"mmmm")</f>
        <v/>
      </c>
    </row>
    <row r="367">
      <c r="A367" s="60" t="n">
        <v>46105</v>
      </c>
      <c r="B367" s="60" t="n">
        <v>46108</v>
      </c>
      <c r="C367" s="60" t="n">
        <v>46111</v>
      </c>
      <c r="D367" s="87" t="inlineStr">
        <is>
          <t>ALESSANDRO PEREIRA DOS SANTOS</t>
        </is>
      </c>
      <c r="E367" s="87" t="inlineStr">
        <is>
          <t>Azul</t>
        </is>
      </c>
      <c r="F367" s="87" t="inlineStr">
        <is>
          <t>Jacqueline</t>
        </is>
      </c>
      <c r="G367" s="87" t="inlineStr">
        <is>
          <t>F</t>
        </is>
      </c>
      <c r="H367" s="80" t="n"/>
      <c r="I367" s="87" t="n"/>
      <c r="J367" s="87" t="inlineStr">
        <is>
          <t>Pendente</t>
        </is>
      </c>
      <c r="K367" s="60" t="n">
        <v>46114</v>
      </c>
      <c r="L367" s="87">
        <f>TEXT(A367,"mmmm")</f>
        <v/>
      </c>
    </row>
    <row r="368">
      <c r="A368" s="60" t="n">
        <v>46105</v>
      </c>
      <c r="B368" s="60" t="n">
        <v>46108</v>
      </c>
      <c r="C368" s="60" t="n">
        <v>46111</v>
      </c>
      <c r="D368" s="87" t="inlineStr">
        <is>
          <t>ANA PAULA CHRISTE ROSCHEL</t>
        </is>
      </c>
      <c r="E368" s="87" t="inlineStr">
        <is>
          <t>Azul</t>
        </is>
      </c>
      <c r="F368" s="87" t="inlineStr">
        <is>
          <t>John</t>
        </is>
      </c>
      <c r="G368" s="87" t="inlineStr">
        <is>
          <t>M</t>
        </is>
      </c>
      <c r="H368" s="80" t="n"/>
      <c r="I368" s="87" t="n"/>
      <c r="J368" s="87" t="inlineStr">
        <is>
          <t>Pendente</t>
        </is>
      </c>
      <c r="K368" s="60" t="n">
        <v>46114</v>
      </c>
      <c r="L368" s="87">
        <f>TEXT(A368,"mmmm")</f>
        <v/>
      </c>
    </row>
    <row r="369">
      <c r="A369" s="60" t="n">
        <v>46106</v>
      </c>
      <c r="B369" s="60" t="n">
        <v>46109</v>
      </c>
      <c r="C369" s="60" t="n">
        <v>46112</v>
      </c>
      <c r="D369" s="87" t="inlineStr">
        <is>
          <t>EVERTON ROCHA DE OLIVEIRA</t>
        </is>
      </c>
      <c r="E369" s="87" t="inlineStr">
        <is>
          <t>Suhai</t>
        </is>
      </c>
      <c r="F369" s="87" t="inlineStr">
        <is>
          <t>Jéssica</t>
        </is>
      </c>
      <c r="G369" s="87" t="inlineStr">
        <is>
          <t>F</t>
        </is>
      </c>
      <c r="H369" s="80" t="n"/>
      <c r="I369" s="87" t="n"/>
      <c r="J369" s="87" t="inlineStr">
        <is>
          <t>Pendente</t>
        </is>
      </c>
      <c r="K369" s="60" t="n">
        <v>46115</v>
      </c>
      <c r="L369" s="87">
        <f>TEXT(A369,"mmmm")</f>
        <v/>
      </c>
    </row>
    <row r="370">
      <c r="A370" s="60" t="n">
        <v>46106</v>
      </c>
      <c r="B370" s="60" t="n">
        <v>46109</v>
      </c>
      <c r="C370" s="60" t="n">
        <v>46112</v>
      </c>
      <c r="D370" s="87" t="inlineStr">
        <is>
          <t>ANTONIO PEREIRA FERREIRA</t>
        </is>
      </c>
      <c r="E370" s="87" t="inlineStr">
        <is>
          <t>Azul</t>
        </is>
      </c>
      <c r="F370" s="87" t="inlineStr">
        <is>
          <t>Isabella</t>
        </is>
      </c>
      <c r="G370" s="87" t="inlineStr">
        <is>
          <t>F</t>
        </is>
      </c>
      <c r="H370" s="80" t="n"/>
      <c r="I370" s="87" t="n"/>
      <c r="J370" s="87" t="inlineStr">
        <is>
          <t>Pendente</t>
        </is>
      </c>
      <c r="K370" s="60" t="n">
        <v>46115</v>
      </c>
      <c r="L370" s="87">
        <f>TEXT(A370,"mmmm")</f>
        <v/>
      </c>
    </row>
    <row r="371">
      <c r="A371" s="60" t="n">
        <v>46106</v>
      </c>
      <c r="B371" s="60" t="n">
        <v>46109</v>
      </c>
      <c r="C371" s="60" t="n">
        <v>46112</v>
      </c>
      <c r="D371" s="87" t="inlineStr">
        <is>
          <t>DANIEL APARECIDO DE LIMA PERPETUO</t>
        </is>
      </c>
      <c r="E371" s="87" t="inlineStr">
        <is>
          <t>Tokio</t>
        </is>
      </c>
      <c r="F371" s="87" t="inlineStr">
        <is>
          <t>Isabella</t>
        </is>
      </c>
      <c r="G371" s="87" t="inlineStr">
        <is>
          <t>F</t>
        </is>
      </c>
      <c r="H371" s="80" t="n"/>
      <c r="I371" s="87" t="n"/>
      <c r="J371" s="87" t="inlineStr">
        <is>
          <t>Pendente</t>
        </is>
      </c>
      <c r="K371" s="60" t="n">
        <v>46115</v>
      </c>
      <c r="L371" s="87">
        <f>TEXT(A371,"mmmm")</f>
        <v/>
      </c>
    </row>
    <row r="372">
      <c r="A372" s="60" t="n">
        <v>46106</v>
      </c>
      <c r="B372" s="60" t="n">
        <v>46109</v>
      </c>
      <c r="C372" s="60" t="n">
        <v>46112</v>
      </c>
      <c r="D372" s="87" t="inlineStr">
        <is>
          <t>JOSE ACACIO BRITO DE ARAUJO</t>
        </is>
      </c>
      <c r="E372" s="87" t="inlineStr">
        <is>
          <t>Tokio</t>
        </is>
      </c>
      <c r="F372" s="87" t="inlineStr">
        <is>
          <t>Isabella</t>
        </is>
      </c>
      <c r="G372" s="87" t="inlineStr">
        <is>
          <t>F</t>
        </is>
      </c>
      <c r="H372" s="80" t="n"/>
      <c r="I372" s="87" t="n"/>
      <c r="J372" s="87" t="inlineStr">
        <is>
          <t>Pendente</t>
        </is>
      </c>
      <c r="K372" s="60" t="n">
        <v>46115</v>
      </c>
      <c r="L372" s="87">
        <f>TEXT(A372,"mmmm")</f>
        <v/>
      </c>
    </row>
    <row r="373">
      <c r="A373" s="60" t="n">
        <v>46106</v>
      </c>
      <c r="B373" s="60" t="n">
        <v>46109</v>
      </c>
      <c r="C373" s="60" t="n">
        <v>46112</v>
      </c>
      <c r="D373" s="87" t="inlineStr">
        <is>
          <t>TATIANE OLIVEIRA RODRIGUES SILVA</t>
        </is>
      </c>
      <c r="E373" s="87" t="inlineStr">
        <is>
          <t>Tokio</t>
        </is>
      </c>
      <c r="F373" s="87" t="inlineStr">
        <is>
          <t>John</t>
        </is>
      </c>
      <c r="G373" s="87" t="inlineStr">
        <is>
          <t>M</t>
        </is>
      </c>
      <c r="H373" s="80" t="n"/>
      <c r="I373" s="87" t="n"/>
      <c r="J373" s="87" t="inlineStr">
        <is>
          <t>Pendente</t>
        </is>
      </c>
      <c r="K373" s="60" t="n">
        <v>46115</v>
      </c>
      <c r="L373" s="87">
        <f>TEXT(A373,"mmmm")</f>
        <v/>
      </c>
    </row>
    <row r="374">
      <c r="A374" s="60" t="n">
        <v>46106</v>
      </c>
      <c r="B374" s="60" t="n">
        <v>46109</v>
      </c>
      <c r="C374" s="60" t="n">
        <v>46112</v>
      </c>
      <c r="D374" s="87" t="inlineStr">
        <is>
          <t>PAULO BATISTA DA SILVA</t>
        </is>
      </c>
      <c r="E374" s="87" t="inlineStr">
        <is>
          <t>Porto</t>
        </is>
      </c>
      <c r="F374" s="87" t="inlineStr">
        <is>
          <t>John</t>
        </is>
      </c>
      <c r="G374" s="87" t="inlineStr">
        <is>
          <t>M</t>
        </is>
      </c>
      <c r="H374" s="80" t="n"/>
      <c r="I374" s="87" t="n"/>
      <c r="J374" s="87" t="inlineStr">
        <is>
          <t>Pendente</t>
        </is>
      </c>
      <c r="K374" s="60" t="n">
        <v>46115</v>
      </c>
      <c r="L374" s="87">
        <f>TEXT(A374,"mmmm")</f>
        <v/>
      </c>
    </row>
    <row r="375">
      <c r="A375" s="60" t="n">
        <v>46106</v>
      </c>
      <c r="B375" s="60" t="n">
        <v>46109</v>
      </c>
      <c r="C375" s="60" t="n">
        <v>46112</v>
      </c>
      <c r="D375" s="87" t="inlineStr">
        <is>
          <t>CARLOS ANTONIO PEREIRA</t>
        </is>
      </c>
      <c r="E375" s="87" t="inlineStr">
        <is>
          <t>Allianz</t>
        </is>
      </c>
      <c r="F375" s="87" t="inlineStr">
        <is>
          <t>John</t>
        </is>
      </c>
      <c r="G375" s="87" t="inlineStr">
        <is>
          <t>M</t>
        </is>
      </c>
      <c r="H375" s="80" t="n"/>
      <c r="I375" s="87" t="n"/>
      <c r="J375" s="87" t="inlineStr">
        <is>
          <t>Pendente</t>
        </is>
      </c>
      <c r="K375" s="60" t="n">
        <v>46115</v>
      </c>
      <c r="L375" s="87">
        <f>TEXT(A375,"mmmm")</f>
        <v/>
      </c>
    </row>
    <row r="376">
      <c r="A376" s="60" t="n">
        <v>46106</v>
      </c>
      <c r="B376" s="60" t="n">
        <v>46109</v>
      </c>
      <c r="C376" s="60" t="n">
        <v>46112</v>
      </c>
      <c r="D376" s="87" t="inlineStr">
        <is>
          <t>VANIA MARIA DA SILVA AMARO VARELA</t>
        </is>
      </c>
      <c r="E376" s="87" t="inlineStr">
        <is>
          <t>Azul</t>
        </is>
      </c>
      <c r="F376" s="87" t="inlineStr">
        <is>
          <t>Enzo</t>
        </is>
      </c>
      <c r="G376" s="87" t="inlineStr">
        <is>
          <t>M</t>
        </is>
      </c>
      <c r="H376" s="80" t="n"/>
      <c r="I376" s="87" t="n"/>
      <c r="J376" s="87" t="inlineStr">
        <is>
          <t>Pendente</t>
        </is>
      </c>
      <c r="K376" s="60" t="n">
        <v>46115</v>
      </c>
      <c r="L376" s="87">
        <f>TEXT(A376,"mmmm")</f>
        <v/>
      </c>
    </row>
    <row r="377">
      <c r="A377" s="60" t="n">
        <v>46106</v>
      </c>
      <c r="B377" s="60" t="n">
        <v>46109</v>
      </c>
      <c r="C377" s="60" t="n">
        <v>46112</v>
      </c>
      <c r="D377" s="87" t="inlineStr">
        <is>
          <t>ROGERIO DE SOUZA RODRIGUES</t>
        </is>
      </c>
      <c r="E377" s="87" t="inlineStr">
        <is>
          <t>Suhai</t>
        </is>
      </c>
      <c r="F377" s="87" t="inlineStr">
        <is>
          <t>Jacqueline</t>
        </is>
      </c>
      <c r="G377" s="87" t="inlineStr">
        <is>
          <t>F</t>
        </is>
      </c>
      <c r="H377" s="80" t="n"/>
      <c r="I377" s="87" t="n"/>
      <c r="J377" s="87" t="inlineStr">
        <is>
          <t>Pendente</t>
        </is>
      </c>
      <c r="K377" s="60" t="n">
        <v>46115</v>
      </c>
      <c r="L377" s="87">
        <f>TEXT(A377,"mmmm")</f>
        <v/>
      </c>
    </row>
    <row r="378">
      <c r="A378" s="60" t="n">
        <v>46107</v>
      </c>
      <c r="B378" s="60" t="n">
        <v>46110</v>
      </c>
      <c r="C378" s="60" t="n">
        <v>46113</v>
      </c>
      <c r="D378" s="87" t="inlineStr">
        <is>
          <t>FERNANDO DANTAS DA SILVA</t>
        </is>
      </c>
      <c r="E378" s="87" t="inlineStr">
        <is>
          <t>Porto</t>
        </is>
      </c>
      <c r="F378" s="87" t="inlineStr">
        <is>
          <t>Jacqueline</t>
        </is>
      </c>
      <c r="G378" s="87" t="inlineStr">
        <is>
          <t>F</t>
        </is>
      </c>
      <c r="H378" s="80" t="n"/>
      <c r="I378" s="87" t="n"/>
      <c r="J378" s="87" t="inlineStr">
        <is>
          <t>Pendente</t>
        </is>
      </c>
      <c r="K378" s="60" t="n">
        <v>46116</v>
      </c>
      <c r="L378" s="87">
        <f>TEXT(A378,"mmmm")</f>
        <v/>
      </c>
    </row>
    <row r="379">
      <c r="A379" s="60" t="n">
        <v>46107</v>
      </c>
      <c r="B379" s="60" t="n">
        <v>46110</v>
      </c>
      <c r="C379" s="60" t="n">
        <v>46113</v>
      </c>
      <c r="D379" s="87" t="inlineStr">
        <is>
          <t>VESPASIANO GOMES DE SA</t>
        </is>
      </c>
      <c r="E379" s="87" t="inlineStr">
        <is>
          <t>Azul</t>
        </is>
      </c>
      <c r="F379" s="87" t="inlineStr">
        <is>
          <t>Leticia</t>
        </is>
      </c>
      <c r="G379" s="87" t="inlineStr">
        <is>
          <t>F</t>
        </is>
      </c>
      <c r="H379" s="80" t="n"/>
      <c r="I379" s="87" t="n"/>
      <c r="J379" s="87" t="inlineStr">
        <is>
          <t>Pendente</t>
        </is>
      </c>
      <c r="K379" s="60" t="n">
        <v>46116</v>
      </c>
      <c r="L379" s="87">
        <f>TEXT(A379,"mmmm")</f>
        <v/>
      </c>
    </row>
    <row r="380">
      <c r="A380" s="60" t="n">
        <v>46107</v>
      </c>
      <c r="B380" s="60" t="n">
        <v>46110</v>
      </c>
      <c r="C380" s="60" t="n">
        <v>46113</v>
      </c>
      <c r="D380" s="87" t="inlineStr">
        <is>
          <t>LOCADORA DE MOTOS MOTOPRAJA LTDA</t>
        </is>
      </c>
      <c r="E380" s="87" t="inlineStr">
        <is>
          <t>Suhai</t>
        </is>
      </c>
      <c r="F380" s="87" t="inlineStr">
        <is>
          <t>Isabella</t>
        </is>
      </c>
      <c r="G380" s="87" t="inlineStr">
        <is>
          <t>F</t>
        </is>
      </c>
      <c r="H380" s="80" t="n"/>
      <c r="I380" s="87" t="n"/>
      <c r="J380" s="87" t="inlineStr">
        <is>
          <t>Pendente</t>
        </is>
      </c>
      <c r="K380" s="60" t="n">
        <v>46116</v>
      </c>
      <c r="L380" s="87">
        <f>TEXT(A380,"mmmm")</f>
        <v/>
      </c>
    </row>
    <row r="381">
      <c r="A381" s="60" t="n">
        <v>46107</v>
      </c>
      <c r="B381" s="60" t="n">
        <v>46110</v>
      </c>
      <c r="C381" s="60" t="n">
        <v>46113</v>
      </c>
      <c r="D381" s="87" t="inlineStr">
        <is>
          <t>LOCADORA DE MOTOS MOTOPRAJA LTDA</t>
        </is>
      </c>
      <c r="E381" s="87" t="inlineStr">
        <is>
          <t>Suhai</t>
        </is>
      </c>
      <c r="F381" s="87" t="inlineStr">
        <is>
          <t>Isabella</t>
        </is>
      </c>
      <c r="G381" s="87" t="inlineStr">
        <is>
          <t>F</t>
        </is>
      </c>
      <c r="H381" s="80" t="n"/>
      <c r="I381" s="87" t="n"/>
      <c r="J381" s="87" t="inlineStr">
        <is>
          <t>Pendente</t>
        </is>
      </c>
      <c r="K381" s="60" t="n">
        <v>46116</v>
      </c>
      <c r="L381" s="87">
        <f>TEXT(A381,"mmmm")</f>
        <v/>
      </c>
    </row>
    <row r="382">
      <c r="A382" s="60" t="n">
        <v>46107</v>
      </c>
      <c r="B382" s="60" t="n">
        <v>46110</v>
      </c>
      <c r="C382" s="60" t="n">
        <v>46113</v>
      </c>
      <c r="D382" s="87" t="inlineStr">
        <is>
          <t>LOCADORA DE MOTOS MOTOPRAJA LTDA</t>
        </is>
      </c>
      <c r="E382" s="87" t="inlineStr">
        <is>
          <t>Suhai</t>
        </is>
      </c>
      <c r="F382" s="87" t="inlineStr">
        <is>
          <t>Isabella</t>
        </is>
      </c>
      <c r="G382" s="87" t="inlineStr">
        <is>
          <t>F</t>
        </is>
      </c>
      <c r="H382" s="80" t="n"/>
      <c r="I382" s="87" t="n"/>
      <c r="J382" s="87" t="inlineStr">
        <is>
          <t>Pendente</t>
        </is>
      </c>
      <c r="K382" s="60" t="n">
        <v>46116</v>
      </c>
      <c r="L382" s="87">
        <f>TEXT(A382,"mmmm")</f>
        <v/>
      </c>
    </row>
    <row r="383">
      <c r="A383" s="60" t="n">
        <v>46107</v>
      </c>
      <c r="B383" s="60" t="n">
        <v>46110</v>
      </c>
      <c r="C383" s="60" t="n">
        <v>46113</v>
      </c>
      <c r="D383" s="87" t="inlineStr">
        <is>
          <t>LOCADORA DE MOTOS MOTOPRAJA LTDA</t>
        </is>
      </c>
      <c r="E383" s="87" t="inlineStr">
        <is>
          <t>Suhai</t>
        </is>
      </c>
      <c r="F383" s="87" t="inlineStr">
        <is>
          <t>Isabella</t>
        </is>
      </c>
      <c r="G383" s="87" t="inlineStr">
        <is>
          <t>F</t>
        </is>
      </c>
      <c r="H383" s="80" t="n"/>
      <c r="I383" s="87" t="n"/>
      <c r="J383" s="87" t="inlineStr">
        <is>
          <t>Pendente</t>
        </is>
      </c>
      <c r="K383" s="60" t="n">
        <v>46116</v>
      </c>
      <c r="L383" s="87">
        <f>TEXT(A383,"mmmm")</f>
        <v/>
      </c>
    </row>
    <row r="384">
      <c r="A384" s="60" t="n">
        <v>46107</v>
      </c>
      <c r="B384" s="60" t="n">
        <v>46110</v>
      </c>
      <c r="C384" s="60" t="n">
        <v>46113</v>
      </c>
      <c r="D384" s="87" t="inlineStr">
        <is>
          <t>LOCADORA DE MOTOS MOTOPRAJA LTDA</t>
        </is>
      </c>
      <c r="E384" s="87" t="inlineStr">
        <is>
          <t>Suhai</t>
        </is>
      </c>
      <c r="F384" s="87" t="inlineStr">
        <is>
          <t>Isabella</t>
        </is>
      </c>
      <c r="G384" s="87" t="inlineStr">
        <is>
          <t>F</t>
        </is>
      </c>
      <c r="H384" s="80" t="n"/>
      <c r="I384" s="87" t="n"/>
      <c r="J384" s="87" t="inlineStr">
        <is>
          <t>Pendente</t>
        </is>
      </c>
      <c r="K384" s="60" t="n">
        <v>46116</v>
      </c>
      <c r="L384" s="87">
        <f>TEXT(A384,"mmmm")</f>
        <v/>
      </c>
    </row>
    <row r="385">
      <c r="A385" s="60" t="n">
        <v>46107</v>
      </c>
      <c r="B385" s="60" t="n">
        <v>46110</v>
      </c>
      <c r="C385" s="60" t="n">
        <v>46113</v>
      </c>
      <c r="D385" s="87" t="inlineStr">
        <is>
          <t>LOCADORA DE MOTOS MOTOPRAJA LTDA</t>
        </is>
      </c>
      <c r="E385" s="87" t="inlineStr">
        <is>
          <t>Suhai</t>
        </is>
      </c>
      <c r="F385" s="87" t="inlineStr">
        <is>
          <t>Isabella</t>
        </is>
      </c>
      <c r="G385" s="87" t="inlineStr">
        <is>
          <t>F</t>
        </is>
      </c>
      <c r="H385" s="80" t="n"/>
      <c r="I385" s="87" t="n"/>
      <c r="J385" s="87" t="inlineStr">
        <is>
          <t>Pendente</t>
        </is>
      </c>
      <c r="K385" s="60" t="n">
        <v>46116</v>
      </c>
      <c r="L385" s="87">
        <f>TEXT(A385,"mmmm")</f>
        <v/>
      </c>
    </row>
    <row r="386">
      <c r="A386" s="60" t="n">
        <v>46107</v>
      </c>
      <c r="B386" s="60" t="n">
        <v>46110</v>
      </c>
      <c r="C386" s="60" t="n">
        <v>46113</v>
      </c>
      <c r="D386" s="87" t="inlineStr">
        <is>
          <t>LOCADORA DE MOTOS MOTOPRAJA LTDA</t>
        </is>
      </c>
      <c r="E386" s="87" t="inlineStr">
        <is>
          <t>Suhai</t>
        </is>
      </c>
      <c r="F386" s="87" t="inlineStr">
        <is>
          <t>Isabella</t>
        </is>
      </c>
      <c r="G386" s="87" t="inlineStr">
        <is>
          <t>F</t>
        </is>
      </c>
      <c r="H386" s="80" t="n"/>
      <c r="I386" s="87" t="n"/>
      <c r="J386" s="87" t="inlineStr">
        <is>
          <t>Pendente</t>
        </is>
      </c>
      <c r="K386" s="60" t="n">
        <v>46116</v>
      </c>
      <c r="L386" s="87">
        <f>TEXT(A386,"mmmm")</f>
        <v/>
      </c>
    </row>
    <row r="387">
      <c r="A387" s="60" t="n">
        <v>46107</v>
      </c>
      <c r="B387" s="60" t="n">
        <v>46110</v>
      </c>
      <c r="C387" s="60" t="n">
        <v>46113</v>
      </c>
      <c r="D387" s="87" t="inlineStr">
        <is>
          <t>LOCADORA DE MOTOS MOTOPRAJA LTDA</t>
        </is>
      </c>
      <c r="E387" s="87" t="inlineStr">
        <is>
          <t>Suhai</t>
        </is>
      </c>
      <c r="F387" s="87" t="inlineStr">
        <is>
          <t>Isabella</t>
        </is>
      </c>
      <c r="G387" s="87" t="inlineStr">
        <is>
          <t>F</t>
        </is>
      </c>
      <c r="H387" s="80" t="n"/>
      <c r="I387" s="87" t="n"/>
      <c r="J387" s="87" t="inlineStr">
        <is>
          <t>Pendente</t>
        </is>
      </c>
      <c r="K387" s="60" t="n">
        <v>46116</v>
      </c>
      <c r="L387" s="87">
        <f>TEXT(A387,"mmmm")</f>
        <v/>
      </c>
    </row>
    <row r="388">
      <c r="A388" s="60" t="n">
        <v>46107</v>
      </c>
      <c r="B388" s="60" t="n">
        <v>46110</v>
      </c>
      <c r="C388" s="60" t="n">
        <v>46113</v>
      </c>
      <c r="D388" s="87" t="inlineStr">
        <is>
          <t>LOCADORA DE MOTOS MOTOPRAJA LTDA</t>
        </is>
      </c>
      <c r="E388" s="87" t="inlineStr">
        <is>
          <t>Suhai</t>
        </is>
      </c>
      <c r="F388" s="87" t="inlineStr">
        <is>
          <t>Isabella</t>
        </is>
      </c>
      <c r="G388" s="87" t="inlineStr">
        <is>
          <t>F</t>
        </is>
      </c>
      <c r="H388" s="80" t="n"/>
      <c r="I388" s="87" t="n"/>
      <c r="J388" s="87" t="inlineStr">
        <is>
          <t>Pendente</t>
        </is>
      </c>
      <c r="K388" s="60" t="n">
        <v>46116</v>
      </c>
      <c r="L388" s="87">
        <f>TEXT(A388,"mmmm")</f>
        <v/>
      </c>
    </row>
    <row r="389">
      <c r="A389" s="60" t="n">
        <v>46107</v>
      </c>
      <c r="B389" s="60" t="n">
        <v>46110</v>
      </c>
      <c r="C389" s="60" t="n">
        <v>46113</v>
      </c>
      <c r="D389" s="87" t="inlineStr">
        <is>
          <t>LOCADORA DE MOTOS MOTOPRAJA LTDA</t>
        </is>
      </c>
      <c r="E389" s="87" t="inlineStr">
        <is>
          <t>Suhai</t>
        </is>
      </c>
      <c r="F389" s="87" t="inlineStr">
        <is>
          <t>Isabella</t>
        </is>
      </c>
      <c r="G389" s="87" t="inlineStr">
        <is>
          <t>F</t>
        </is>
      </c>
      <c r="H389" s="80" t="n"/>
      <c r="I389" s="87" t="n"/>
      <c r="J389" s="87" t="inlineStr">
        <is>
          <t>Pendente</t>
        </is>
      </c>
      <c r="K389" s="60" t="n">
        <v>46116</v>
      </c>
      <c r="L389" s="87">
        <f>TEXT(A389,"mmmm")</f>
        <v/>
      </c>
    </row>
    <row r="390">
      <c r="A390" s="60" t="n">
        <v>46107</v>
      </c>
      <c r="B390" s="60" t="n">
        <v>46110</v>
      </c>
      <c r="C390" s="60" t="n">
        <v>46113</v>
      </c>
      <c r="D390" s="87" t="inlineStr">
        <is>
          <t>RICARDO FREIRE DE SANTANA</t>
        </is>
      </c>
      <c r="E390" s="87" t="inlineStr">
        <is>
          <t>Azul</t>
        </is>
      </c>
      <c r="F390" s="87" t="inlineStr">
        <is>
          <t>Jacqueline</t>
        </is>
      </c>
      <c r="G390" s="87" t="inlineStr">
        <is>
          <t>F</t>
        </is>
      </c>
      <c r="H390" s="80" t="n"/>
      <c r="I390" s="87" t="n"/>
      <c r="J390" s="87" t="inlineStr">
        <is>
          <t>Pendente</t>
        </is>
      </c>
      <c r="K390" s="60" t="n">
        <v>46116</v>
      </c>
      <c r="L390" s="87">
        <f>TEXT(A390,"mmmm")</f>
        <v/>
      </c>
    </row>
    <row r="391">
      <c r="A391" s="60" t="n">
        <v>46107</v>
      </c>
      <c r="B391" s="60" t="n">
        <v>46110</v>
      </c>
      <c r="C391" s="60" t="n">
        <v>46113</v>
      </c>
      <c r="D391" s="87" t="inlineStr">
        <is>
          <t>ADRIANNE BUGATTI OROSCO</t>
        </is>
      </c>
      <c r="E391" s="87" t="inlineStr">
        <is>
          <t>Azul</t>
        </is>
      </c>
      <c r="F391" s="87" t="inlineStr">
        <is>
          <t>Jacqueline</t>
        </is>
      </c>
      <c r="G391" s="87" t="inlineStr">
        <is>
          <t>F</t>
        </is>
      </c>
      <c r="H391" s="80" t="n"/>
      <c r="I391" s="87" t="n"/>
      <c r="J391" s="87" t="inlineStr">
        <is>
          <t>Pendente</t>
        </is>
      </c>
      <c r="K391" s="60" t="n">
        <v>46116</v>
      </c>
      <c r="L391" s="87">
        <f>TEXT(A391,"mmmm")</f>
        <v/>
      </c>
    </row>
    <row r="392">
      <c r="A392" s="60" t="n">
        <v>46107</v>
      </c>
      <c r="B392" s="60" t="n">
        <v>46110</v>
      </c>
      <c r="C392" s="60" t="n">
        <v>46113</v>
      </c>
      <c r="D392" s="87" t="inlineStr">
        <is>
          <t>ITAMAR ROCHA DOS SANTOS</t>
        </is>
      </c>
      <c r="E392" s="87" t="inlineStr">
        <is>
          <t>Tokio</t>
        </is>
      </c>
      <c r="F392" s="87" t="inlineStr">
        <is>
          <t>Jéssica</t>
        </is>
      </c>
      <c r="G392" s="87" t="inlineStr">
        <is>
          <t>F</t>
        </is>
      </c>
      <c r="H392" s="80" t="n"/>
      <c r="I392" s="87" t="n"/>
      <c r="J392" s="87" t="inlineStr">
        <is>
          <t>Pendente</t>
        </is>
      </c>
      <c r="K392" s="60" t="n">
        <v>46116</v>
      </c>
      <c r="L392" s="87">
        <f>TEXT(A392,"mmmm")</f>
        <v/>
      </c>
    </row>
    <row r="393">
      <c r="A393" s="60" t="n">
        <v>46107</v>
      </c>
      <c r="B393" s="60" t="n">
        <v>46110</v>
      </c>
      <c r="C393" s="60" t="n">
        <v>46113</v>
      </c>
      <c r="D393" s="87" t="inlineStr">
        <is>
          <t>RENADIA DE ASSUNCAO LOPES</t>
        </is>
      </c>
      <c r="E393" s="87" t="inlineStr">
        <is>
          <t>Azul</t>
        </is>
      </c>
      <c r="F393" s="87" t="inlineStr">
        <is>
          <t>Leticia</t>
        </is>
      </c>
      <c r="G393" s="87" t="inlineStr">
        <is>
          <t>F</t>
        </is>
      </c>
      <c r="H393" s="80" t="n"/>
      <c r="I393" s="87" t="n"/>
      <c r="J393" s="87" t="inlineStr">
        <is>
          <t>Pendente</t>
        </is>
      </c>
      <c r="K393" s="60" t="n">
        <v>46116</v>
      </c>
      <c r="L393" s="87">
        <f>TEXT(A393,"mmmm")</f>
        <v/>
      </c>
    </row>
    <row r="394">
      <c r="A394" s="60" t="n">
        <v>46107</v>
      </c>
      <c r="B394" s="60" t="n">
        <v>46110</v>
      </c>
      <c r="C394" s="60" t="n">
        <v>46113</v>
      </c>
      <c r="D394" s="87" t="inlineStr">
        <is>
          <t>ANTONIO CARLOS DE OLIVEIRA</t>
        </is>
      </c>
      <c r="E394" s="87" t="inlineStr">
        <is>
          <t>Azul</t>
        </is>
      </c>
      <c r="F394" s="87" t="inlineStr">
        <is>
          <t>Leticia</t>
        </is>
      </c>
      <c r="G394" s="87" t="inlineStr">
        <is>
          <t>F</t>
        </is>
      </c>
      <c r="H394" s="80" t="n"/>
      <c r="I394" s="87" t="n"/>
      <c r="J394" s="87" t="inlineStr">
        <is>
          <t>Pendente</t>
        </is>
      </c>
      <c r="K394" s="60" t="n">
        <v>46116</v>
      </c>
      <c r="L394" s="87">
        <f>TEXT(A394,"mmmm")</f>
        <v/>
      </c>
    </row>
    <row r="395">
      <c r="A395" s="60" t="n">
        <v>46108</v>
      </c>
      <c r="B395" s="60" t="n">
        <v>46111</v>
      </c>
      <c r="C395" s="60" t="n">
        <v>46114</v>
      </c>
      <c r="D395" s="87" t="inlineStr">
        <is>
          <t>ALSEBERTO ROCHA ALMEIDA</t>
        </is>
      </c>
      <c r="E395" s="87" t="inlineStr">
        <is>
          <t>Suhai</t>
        </is>
      </c>
      <c r="F395" s="87" t="inlineStr">
        <is>
          <t>Jacqueline</t>
        </is>
      </c>
      <c r="G395" s="87" t="inlineStr">
        <is>
          <t>F</t>
        </is>
      </c>
      <c r="H395" s="80" t="n"/>
      <c r="I395" s="87" t="n"/>
      <c r="J395" s="87" t="inlineStr">
        <is>
          <t>Pendente</t>
        </is>
      </c>
      <c r="K395" s="60" t="n">
        <v>46117</v>
      </c>
      <c r="L395" s="87">
        <f>TEXT(A395,"mmmm")</f>
        <v/>
      </c>
    </row>
    <row r="396">
      <c r="A396" s="60" t="n">
        <v>46108</v>
      </c>
      <c r="B396" s="60" t="n">
        <v>46111</v>
      </c>
      <c r="C396" s="60" t="n">
        <v>46114</v>
      </c>
      <c r="D396" s="87" t="inlineStr">
        <is>
          <t>CARLOS JOAQUIM DOS SANTOS</t>
        </is>
      </c>
      <c r="E396" s="87" t="inlineStr">
        <is>
          <t>Mapfre</t>
        </is>
      </c>
      <c r="F396" s="87" t="inlineStr">
        <is>
          <t>Isabella</t>
        </is>
      </c>
      <c r="G396" s="87" t="inlineStr">
        <is>
          <t>F</t>
        </is>
      </c>
      <c r="H396" s="80" t="n"/>
      <c r="I396" s="87" t="n"/>
      <c r="J396" s="87" t="inlineStr">
        <is>
          <t>Pendente</t>
        </is>
      </c>
      <c r="K396" s="60" t="n">
        <v>46117</v>
      </c>
      <c r="L396" s="87">
        <f>TEXT(A396,"mmmm")</f>
        <v/>
      </c>
    </row>
    <row r="397">
      <c r="A397" s="60" t="n">
        <v>46108</v>
      </c>
      <c r="B397" s="60" t="n">
        <v>46111</v>
      </c>
      <c r="C397" s="60" t="n">
        <v>46114</v>
      </c>
      <c r="D397" s="87" t="inlineStr">
        <is>
          <t>LILIAN GOMES MARIANO</t>
        </is>
      </c>
      <c r="E397" s="87" t="inlineStr">
        <is>
          <t>Tokio</t>
        </is>
      </c>
      <c r="F397" s="87" t="inlineStr">
        <is>
          <t>Myrelle</t>
        </is>
      </c>
      <c r="G397" s="87" t="inlineStr">
        <is>
          <t>F</t>
        </is>
      </c>
      <c r="H397" s="80" t="n"/>
      <c r="I397" s="87" t="n"/>
      <c r="J397" s="87" t="inlineStr">
        <is>
          <t>Pendente</t>
        </is>
      </c>
      <c r="K397" s="60" t="n">
        <v>46117</v>
      </c>
      <c r="L397" s="87">
        <f>TEXT(A397,"mmmm")</f>
        <v/>
      </c>
    </row>
    <row r="398">
      <c r="A398" s="60" t="n">
        <v>46108</v>
      </c>
      <c r="B398" s="60" t="n">
        <v>46111</v>
      </c>
      <c r="C398" s="60" t="n">
        <v>46114</v>
      </c>
      <c r="D398" s="87" t="inlineStr">
        <is>
          <t>JOSE JORGE MASRI</t>
        </is>
      </c>
      <c r="E398" s="87" t="inlineStr">
        <is>
          <t>Itaú</t>
        </is>
      </c>
      <c r="F398" s="87" t="inlineStr">
        <is>
          <t>Enzo</t>
        </is>
      </c>
      <c r="G398" s="87" t="inlineStr">
        <is>
          <t>M</t>
        </is>
      </c>
      <c r="H398" s="80" t="n"/>
      <c r="I398" s="87" t="n"/>
      <c r="J398" s="87" t="inlineStr">
        <is>
          <t>Pendente</t>
        </is>
      </c>
      <c r="K398" s="60" t="n">
        <v>46117</v>
      </c>
      <c r="L398" s="87">
        <f>TEXT(A398,"mmmm")</f>
        <v/>
      </c>
    </row>
    <row r="399">
      <c r="A399" s="60" t="n">
        <v>46108</v>
      </c>
      <c r="B399" s="60" t="n">
        <v>46111</v>
      </c>
      <c r="C399" s="60" t="n">
        <v>46114</v>
      </c>
      <c r="D399" s="87" t="inlineStr">
        <is>
          <t>MARILENE VERDUGO BALDO DE OLIVEIRA</t>
        </is>
      </c>
      <c r="E399" s="87" t="inlineStr">
        <is>
          <t>Azul</t>
        </is>
      </c>
      <c r="F399" s="87" t="inlineStr">
        <is>
          <t>Enzo</t>
        </is>
      </c>
      <c r="G399" s="87" t="inlineStr">
        <is>
          <t>M</t>
        </is>
      </c>
      <c r="H399" s="80" t="n"/>
      <c r="I399" s="87" t="n"/>
      <c r="J399" s="87" t="inlineStr">
        <is>
          <t>Pendente</t>
        </is>
      </c>
      <c r="K399" s="60" t="n">
        <v>46117</v>
      </c>
      <c r="L399" s="87">
        <f>TEXT(A399,"mmmm")</f>
        <v/>
      </c>
    </row>
    <row r="400">
      <c r="A400" s="60" t="n">
        <v>46108</v>
      </c>
      <c r="B400" s="60" t="n">
        <v>46111</v>
      </c>
      <c r="C400" s="60" t="n">
        <v>46114</v>
      </c>
      <c r="D400" s="87" t="inlineStr">
        <is>
          <t>ANTONIO APARECIDO DE CAMPOS</t>
        </is>
      </c>
      <c r="E400" s="87" t="inlineStr">
        <is>
          <t>Tokio</t>
        </is>
      </c>
      <c r="F400" s="87" t="inlineStr">
        <is>
          <t>Enzo</t>
        </is>
      </c>
      <c r="G400" s="87" t="inlineStr">
        <is>
          <t>M</t>
        </is>
      </c>
      <c r="H400" s="80" t="n"/>
      <c r="I400" s="87" t="n"/>
      <c r="J400" s="87" t="inlineStr">
        <is>
          <t>Pendente</t>
        </is>
      </c>
      <c r="K400" s="60" t="n">
        <v>46117</v>
      </c>
      <c r="L400" s="87">
        <f>TEXT(A400,"mmmm")</f>
        <v/>
      </c>
    </row>
    <row r="401">
      <c r="A401" s="60" t="n">
        <v>46108</v>
      </c>
      <c r="B401" s="60" t="n">
        <v>46111</v>
      </c>
      <c r="C401" s="60" t="n">
        <v>46114</v>
      </c>
      <c r="D401" s="87" t="inlineStr">
        <is>
          <t>PAULA PEREIRA LIMA</t>
        </is>
      </c>
      <c r="E401" s="87" t="inlineStr">
        <is>
          <t>Allianz</t>
        </is>
      </c>
      <c r="F401" s="87" t="inlineStr">
        <is>
          <t>Enzo</t>
        </is>
      </c>
      <c r="G401" s="87" t="inlineStr">
        <is>
          <t>M</t>
        </is>
      </c>
      <c r="H401" s="80" t="n"/>
      <c r="I401" s="87" t="n"/>
      <c r="J401" s="87" t="inlineStr">
        <is>
          <t>Pendente</t>
        </is>
      </c>
      <c r="K401" s="60" t="n">
        <v>46117</v>
      </c>
      <c r="L401" s="87">
        <f>TEXT(A401,"mmmm")</f>
        <v/>
      </c>
    </row>
    <row r="402">
      <c r="A402" s="60" t="n">
        <v>46108</v>
      </c>
      <c r="B402" s="60" t="n">
        <v>46111</v>
      </c>
      <c r="C402" s="60" t="n">
        <v>46114</v>
      </c>
      <c r="D402" s="87" t="inlineStr">
        <is>
          <t>NELSON LANGUES</t>
        </is>
      </c>
      <c r="E402" s="87" t="inlineStr">
        <is>
          <t>Allianz</t>
        </is>
      </c>
      <c r="F402" s="87" t="inlineStr">
        <is>
          <t>Myrelle</t>
        </is>
      </c>
      <c r="G402" s="87" t="inlineStr">
        <is>
          <t>F</t>
        </is>
      </c>
      <c r="H402" s="80" t="n"/>
      <c r="I402" s="87" t="n"/>
      <c r="J402" s="87" t="inlineStr">
        <is>
          <t>Pendente</t>
        </is>
      </c>
      <c r="K402" s="60" t="n">
        <v>46117</v>
      </c>
      <c r="L402" s="87">
        <f>TEXT(A402,"mmmm")</f>
        <v/>
      </c>
    </row>
    <row r="403">
      <c r="A403" s="60" t="n">
        <v>46108</v>
      </c>
      <c r="B403" s="60" t="n">
        <v>46111</v>
      </c>
      <c r="C403" s="60" t="n">
        <v>46114</v>
      </c>
      <c r="D403" s="87" t="inlineStr">
        <is>
          <t>MARCIO CORDEIRO</t>
        </is>
      </c>
      <c r="E403" s="87" t="inlineStr">
        <is>
          <t>Tokio</t>
        </is>
      </c>
      <c r="F403" s="87" t="inlineStr">
        <is>
          <t>Leticia</t>
        </is>
      </c>
      <c r="G403" s="87" t="inlineStr">
        <is>
          <t>F</t>
        </is>
      </c>
      <c r="H403" s="80" t="n"/>
      <c r="I403" s="87" t="n"/>
      <c r="J403" s="87" t="inlineStr">
        <is>
          <t>Pendente</t>
        </is>
      </c>
      <c r="K403" s="60" t="n">
        <v>46117</v>
      </c>
      <c r="L403" s="87">
        <f>TEXT(A403,"mmmm")</f>
        <v/>
      </c>
    </row>
    <row r="404">
      <c r="A404" s="60" t="n">
        <v>46108</v>
      </c>
      <c r="B404" s="60" t="n">
        <v>46111</v>
      </c>
      <c r="C404" s="60" t="n">
        <v>46114</v>
      </c>
      <c r="D404" s="87" t="inlineStr">
        <is>
          <t>JORGE SOARES SANTOS</t>
        </is>
      </c>
      <c r="E404" s="87" t="inlineStr">
        <is>
          <t>Azul</t>
        </is>
      </c>
      <c r="F404" s="87" t="inlineStr">
        <is>
          <t>Myrelle</t>
        </is>
      </c>
      <c r="G404" s="87" t="inlineStr">
        <is>
          <t>F</t>
        </is>
      </c>
      <c r="H404" s="80" t="n"/>
      <c r="I404" s="87" t="n"/>
      <c r="J404" s="87" t="inlineStr">
        <is>
          <t>Pendente</t>
        </is>
      </c>
      <c r="K404" s="60" t="n">
        <v>46117</v>
      </c>
      <c r="L404" s="87">
        <f>TEXT(A404,"mmmm")</f>
        <v/>
      </c>
    </row>
    <row r="405">
      <c r="A405" s="60" t="n">
        <v>46108</v>
      </c>
      <c r="B405" s="60" t="n">
        <v>46111</v>
      </c>
      <c r="C405" s="60" t="n">
        <v>46114</v>
      </c>
      <c r="D405" s="87" t="inlineStr">
        <is>
          <t>CARLOS PEREIRA DA SILVA</t>
        </is>
      </c>
      <c r="E405" s="87" t="inlineStr">
        <is>
          <t>Azul</t>
        </is>
      </c>
      <c r="F405" s="87" t="inlineStr">
        <is>
          <t>Leticia</t>
        </is>
      </c>
      <c r="G405" s="87" t="inlineStr">
        <is>
          <t>F</t>
        </is>
      </c>
      <c r="H405" s="80" t="n"/>
      <c r="I405" s="87" t="n"/>
      <c r="J405" s="87" t="inlineStr">
        <is>
          <t>Pendente</t>
        </is>
      </c>
      <c r="K405" s="60" t="n">
        <v>46117</v>
      </c>
      <c r="L405" s="87">
        <f>TEXT(A405,"mmmm")</f>
        <v/>
      </c>
    </row>
    <row r="406">
      <c r="A406" s="60" t="n">
        <v>46108</v>
      </c>
      <c r="B406" s="60" t="n">
        <v>46111</v>
      </c>
      <c r="C406" s="60" t="n">
        <v>46114</v>
      </c>
      <c r="D406" s="87" t="inlineStr">
        <is>
          <t>NALDINEYA LUZ VIANA</t>
        </is>
      </c>
      <c r="E406" s="87" t="inlineStr">
        <is>
          <t>Porto</t>
        </is>
      </c>
      <c r="F406" s="87" t="inlineStr">
        <is>
          <t>John</t>
        </is>
      </c>
      <c r="G406" s="87" t="inlineStr">
        <is>
          <t>M</t>
        </is>
      </c>
      <c r="H406" s="80" t="n"/>
      <c r="I406" s="87" t="n"/>
      <c r="J406" s="87" t="inlineStr">
        <is>
          <t>Pendente</t>
        </is>
      </c>
      <c r="K406" s="60" t="n">
        <v>46117</v>
      </c>
      <c r="L406" s="87">
        <f>TEXT(A406,"mmmm")</f>
        <v/>
      </c>
    </row>
    <row r="407">
      <c r="A407" s="60" t="n">
        <v>46108</v>
      </c>
      <c r="B407" s="60" t="n">
        <v>46111</v>
      </c>
      <c r="C407" s="60" t="n">
        <v>46114</v>
      </c>
      <c r="D407" s="87" t="inlineStr">
        <is>
          <t>EDMILSON DE LIMA</t>
        </is>
      </c>
      <c r="E407" s="87" t="inlineStr">
        <is>
          <t>Azul</t>
        </is>
      </c>
      <c r="F407" s="87" t="inlineStr">
        <is>
          <t>John</t>
        </is>
      </c>
      <c r="G407" s="87" t="inlineStr">
        <is>
          <t>M</t>
        </is>
      </c>
      <c r="H407" s="80" t="n"/>
      <c r="I407" s="87" t="n"/>
      <c r="J407" s="87" t="inlineStr">
        <is>
          <t>Pendente</t>
        </is>
      </c>
      <c r="K407" s="60" t="n">
        <v>46117</v>
      </c>
      <c r="L407" s="87">
        <f>TEXT(A407,"mmmm")</f>
        <v/>
      </c>
    </row>
    <row r="408">
      <c r="A408" s="60" t="n">
        <v>46108</v>
      </c>
      <c r="B408" s="60" t="n">
        <v>46111</v>
      </c>
      <c r="C408" s="60" t="n">
        <v>46114</v>
      </c>
      <c r="D408" s="87" t="inlineStr">
        <is>
          <t>VITORIA DIAS FEITEIRO</t>
        </is>
      </c>
      <c r="E408" s="87" t="inlineStr">
        <is>
          <t>Porto</t>
        </is>
      </c>
      <c r="F408" s="87" t="inlineStr">
        <is>
          <t>Jacqueline</t>
        </is>
      </c>
      <c r="G408" s="87" t="inlineStr">
        <is>
          <t>F</t>
        </is>
      </c>
      <c r="H408" s="80" t="n"/>
      <c r="I408" s="87" t="n"/>
      <c r="J408" s="87" t="inlineStr">
        <is>
          <t>Pendente</t>
        </is>
      </c>
      <c r="K408" s="60" t="n">
        <v>46117</v>
      </c>
      <c r="L408" s="87">
        <f>TEXT(A408,"mmmm")</f>
        <v/>
      </c>
    </row>
    <row r="409">
      <c r="A409" s="60" t="n">
        <v>46111</v>
      </c>
      <c r="B409" s="60" t="n">
        <v>46114</v>
      </c>
      <c r="C409" s="60" t="n">
        <v>46117</v>
      </c>
      <c r="D409" s="87" t="inlineStr">
        <is>
          <t>KAIQUE DOS SANTOS PAIVA</t>
        </is>
      </c>
      <c r="E409" s="87" t="inlineStr">
        <is>
          <t>Tokio</t>
        </is>
      </c>
      <c r="F409" s="87" t="inlineStr">
        <is>
          <t>Leticia</t>
        </is>
      </c>
      <c r="G409" s="87" t="inlineStr">
        <is>
          <t>F</t>
        </is>
      </c>
      <c r="H409" s="80" t="n"/>
      <c r="I409" s="87" t="n"/>
      <c r="J409" s="87" t="inlineStr">
        <is>
          <t>Pendente</t>
        </is>
      </c>
      <c r="K409" s="60" t="n">
        <v>46120</v>
      </c>
      <c r="L409" s="87">
        <f>TEXT(A409,"mmmm")</f>
        <v/>
      </c>
    </row>
    <row r="410">
      <c r="A410" s="60" t="n">
        <v>46111</v>
      </c>
      <c r="B410" s="60" t="n">
        <v>46114</v>
      </c>
      <c r="C410" s="60" t="n">
        <v>46117</v>
      </c>
      <c r="D410" s="87" t="inlineStr">
        <is>
          <t>PAULO ROBERTO APARECIDO DA SILVA</t>
        </is>
      </c>
      <c r="E410" s="87" t="inlineStr">
        <is>
          <t>Mapfre</t>
        </is>
      </c>
      <c r="F410" s="87" t="inlineStr">
        <is>
          <t>Jéssica</t>
        </is>
      </c>
      <c r="G410" s="87" t="inlineStr">
        <is>
          <t>F</t>
        </is>
      </c>
      <c r="H410" s="80" t="n"/>
      <c r="I410" s="87" t="n"/>
      <c r="J410" s="87" t="inlineStr">
        <is>
          <t>Pendente</t>
        </is>
      </c>
      <c r="K410" s="60" t="n">
        <v>46120</v>
      </c>
      <c r="L410" s="87">
        <f>TEXT(A410,"mmmm")</f>
        <v/>
      </c>
    </row>
    <row r="411">
      <c r="A411" s="60" t="n">
        <v>46111</v>
      </c>
      <c r="B411" s="60" t="n">
        <v>46114</v>
      </c>
      <c r="C411" s="60" t="n">
        <v>46117</v>
      </c>
      <c r="D411" s="87" t="inlineStr">
        <is>
          <t>JEFFERSON DE JESUS SAMPAIO</t>
        </is>
      </c>
      <c r="E411" s="87" t="inlineStr">
        <is>
          <t>Azul</t>
        </is>
      </c>
      <c r="F411" s="87" t="inlineStr">
        <is>
          <t>Jacqueline</t>
        </is>
      </c>
      <c r="G411" s="87" t="inlineStr">
        <is>
          <t>F</t>
        </is>
      </c>
      <c r="H411" s="80" t="n"/>
      <c r="I411" s="87" t="n"/>
      <c r="J411" s="87" t="inlineStr">
        <is>
          <t>Pendente</t>
        </is>
      </c>
      <c r="K411" s="60" t="n">
        <v>46120</v>
      </c>
      <c r="L411" s="87">
        <f>TEXT(A411,"mmmm")</f>
        <v/>
      </c>
    </row>
    <row r="412">
      <c r="A412" s="60" t="n">
        <v>46112</v>
      </c>
      <c r="B412" s="60" t="n">
        <v>46115</v>
      </c>
      <c r="C412" s="60" t="n">
        <v>46118</v>
      </c>
      <c r="D412" s="87" t="inlineStr">
        <is>
          <t>ISMAEL OLIVEIRA DOS SANTOS</t>
        </is>
      </c>
      <c r="E412" s="87" t="inlineStr">
        <is>
          <t>Porto</t>
        </is>
      </c>
      <c r="F412" s="87" t="inlineStr">
        <is>
          <t>Enzo</t>
        </is>
      </c>
      <c r="G412" s="87" t="inlineStr">
        <is>
          <t>M</t>
        </is>
      </c>
      <c r="H412" s="80" t="n"/>
      <c r="I412" s="87" t="n"/>
      <c r="J412" s="87" t="inlineStr">
        <is>
          <t>Pendente</t>
        </is>
      </c>
      <c r="K412" s="60" t="n">
        <v>46121</v>
      </c>
      <c r="L412" s="87">
        <f>TEXT(A412,"mmmm")</f>
        <v/>
      </c>
    </row>
    <row r="413">
      <c r="A413" s="60" t="n">
        <v>46112</v>
      </c>
      <c r="B413" s="60" t="n">
        <v>46115</v>
      </c>
      <c r="C413" s="60" t="n">
        <v>46118</v>
      </c>
      <c r="D413" s="87" t="inlineStr">
        <is>
          <t>RAFAEL FLORENCIO DE SOUZA</t>
        </is>
      </c>
      <c r="E413" s="87" t="inlineStr">
        <is>
          <t>Suhai</t>
        </is>
      </c>
      <c r="F413" s="87" t="inlineStr">
        <is>
          <t>Enzo</t>
        </is>
      </c>
      <c r="G413" s="87" t="inlineStr">
        <is>
          <t>M</t>
        </is>
      </c>
      <c r="H413" s="80" t="n"/>
      <c r="I413" s="87" t="n"/>
      <c r="J413" s="87" t="inlineStr">
        <is>
          <t>Pendente</t>
        </is>
      </c>
      <c r="K413" s="60" t="n">
        <v>46121</v>
      </c>
      <c r="L413" s="87">
        <f>TEXT(A413,"mmmm")</f>
        <v/>
      </c>
    </row>
    <row r="414">
      <c r="A414" s="60" t="n">
        <v>46112</v>
      </c>
      <c r="B414" s="60" t="n">
        <v>46115</v>
      </c>
      <c r="C414" s="60" t="n">
        <v>46118</v>
      </c>
      <c r="D414" s="87" t="inlineStr">
        <is>
          <t>ALEFER FONTANS DA SILVA</t>
        </is>
      </c>
      <c r="E414" s="87" t="inlineStr">
        <is>
          <t>Suhai</t>
        </is>
      </c>
      <c r="F414" s="87" t="inlineStr">
        <is>
          <t>Myrelle</t>
        </is>
      </c>
      <c r="G414" s="87" t="inlineStr">
        <is>
          <t>F</t>
        </is>
      </c>
      <c r="H414" s="80" t="n"/>
      <c r="I414" s="87" t="n"/>
      <c r="J414" s="87" t="inlineStr">
        <is>
          <t>Pendente</t>
        </is>
      </c>
      <c r="K414" s="60" t="n">
        <v>46121</v>
      </c>
      <c r="L414" s="87">
        <f>TEXT(A414,"mmmm")</f>
        <v/>
      </c>
    </row>
    <row r="415">
      <c r="A415" s="60" t="n">
        <v>46112</v>
      </c>
      <c r="B415" s="60" t="n">
        <v>46115</v>
      </c>
      <c r="C415" s="60" t="n">
        <v>46118</v>
      </c>
      <c r="D415" s="87" t="inlineStr">
        <is>
          <t>ISLOM JANUARIO ASSUNCAO</t>
        </is>
      </c>
      <c r="E415" s="87" t="inlineStr">
        <is>
          <t>Suhai</t>
        </is>
      </c>
      <c r="F415" s="87" t="inlineStr">
        <is>
          <t>John</t>
        </is>
      </c>
      <c r="G415" s="87" t="inlineStr">
        <is>
          <t>M</t>
        </is>
      </c>
      <c r="H415" s="80" t="n"/>
      <c r="I415" s="87" t="n"/>
      <c r="J415" s="87" t="inlineStr">
        <is>
          <t>Pendente</t>
        </is>
      </c>
      <c r="K415" s="60" t="n">
        <v>46121</v>
      </c>
      <c r="L415" s="87">
        <f>TEXT(A415,"mmmm")</f>
        <v/>
      </c>
    </row>
    <row r="416">
      <c r="A416" s="60" t="n">
        <v>46112</v>
      </c>
      <c r="B416" s="60" t="n">
        <v>46115</v>
      </c>
      <c r="C416" s="60" t="n">
        <v>46118</v>
      </c>
      <c r="D416" s="87" t="inlineStr">
        <is>
          <t>JOSE ROBERTO RIOS</t>
        </is>
      </c>
      <c r="E416" s="87" t="inlineStr">
        <is>
          <t>Tokio</t>
        </is>
      </c>
      <c r="F416" s="87" t="inlineStr">
        <is>
          <t>John</t>
        </is>
      </c>
      <c r="G416" s="87" t="inlineStr">
        <is>
          <t>M</t>
        </is>
      </c>
      <c r="H416" s="80" t="n"/>
      <c r="I416" s="87" t="n"/>
      <c r="J416" s="87" t="inlineStr">
        <is>
          <t>Pendente</t>
        </is>
      </c>
      <c r="K416" s="60" t="n">
        <v>46121</v>
      </c>
      <c r="L416" s="87">
        <f>TEXT(A416,"mmmm")</f>
        <v/>
      </c>
    </row>
    <row r="417">
      <c r="A417" s="60" t="n">
        <v>46112</v>
      </c>
      <c r="B417" s="60" t="n">
        <v>46115</v>
      </c>
      <c r="C417" s="60" t="n">
        <v>46118</v>
      </c>
      <c r="D417" s="87" t="inlineStr">
        <is>
          <t>JULIA MARIA DO NASCIMENTO LUCHETTI MACEDO</t>
        </is>
      </c>
      <c r="E417" s="87" t="inlineStr">
        <is>
          <t>Azul</t>
        </is>
      </c>
      <c r="F417" s="87" t="inlineStr">
        <is>
          <t>Jacqueline</t>
        </is>
      </c>
      <c r="G417" s="87" t="inlineStr">
        <is>
          <t>F</t>
        </is>
      </c>
      <c r="H417" s="80" t="n"/>
      <c r="I417" s="87" t="n"/>
      <c r="J417" s="87" t="inlineStr">
        <is>
          <t>Pendente</t>
        </is>
      </c>
      <c r="K417" s="60" t="n">
        <v>46121</v>
      </c>
      <c r="L417" s="87">
        <f>TEXT(A417,"mmmm")</f>
        <v/>
      </c>
    </row>
    <row r="418">
      <c r="A418" s="60" t="n">
        <v>46112</v>
      </c>
      <c r="B418" s="60" t="n">
        <v>46115</v>
      </c>
      <c r="C418" s="60" t="n">
        <v>46118</v>
      </c>
      <c r="D418" s="87" t="inlineStr">
        <is>
          <t>JOAO JOSE CARMO CUNHA</t>
        </is>
      </c>
      <c r="E418" s="87" t="inlineStr">
        <is>
          <t>Azul</t>
        </is>
      </c>
      <c r="F418" s="87" t="inlineStr">
        <is>
          <t>Isabella</t>
        </is>
      </c>
      <c r="G418" s="87" t="inlineStr">
        <is>
          <t>F</t>
        </is>
      </c>
      <c r="H418" s="80" t="n"/>
      <c r="I418" s="87" t="n"/>
      <c r="J418" s="87" t="inlineStr">
        <is>
          <t>Pendente</t>
        </is>
      </c>
      <c r="K418" s="60" t="n">
        <v>46121</v>
      </c>
      <c r="L418" s="87">
        <f>TEXT(A418,"mmmm")</f>
        <v/>
      </c>
    </row>
    <row r="419">
      <c r="A419" s="60" t="n">
        <v>46112</v>
      </c>
      <c r="B419" s="60" t="n">
        <v>46115</v>
      </c>
      <c r="C419" s="60" t="n">
        <v>46118</v>
      </c>
      <c r="D419" s="87" t="inlineStr">
        <is>
          <t>RICARDO APARECIDO CORDEIRO</t>
        </is>
      </c>
      <c r="E419" s="87" t="inlineStr">
        <is>
          <t>Azul</t>
        </is>
      </c>
      <c r="F419" s="87" t="inlineStr">
        <is>
          <t>John</t>
        </is>
      </c>
      <c r="G419" s="87" t="inlineStr">
        <is>
          <t>M</t>
        </is>
      </c>
      <c r="H419" s="80" t="n"/>
      <c r="I419" s="87" t="n"/>
      <c r="J419" s="87" t="inlineStr">
        <is>
          <t>Pendente</t>
        </is>
      </c>
      <c r="K419" s="60" t="n">
        <v>46121</v>
      </c>
      <c r="L419" s="87">
        <f>TEXT(A419,"mmmm")</f>
        <v/>
      </c>
    </row>
    <row r="420">
      <c r="A420" s="60" t="n">
        <v>46112</v>
      </c>
      <c r="B420" s="60" t="n">
        <v>46115</v>
      </c>
      <c r="C420" s="60" t="n">
        <v>46118</v>
      </c>
      <c r="D420" s="87" t="inlineStr">
        <is>
          <t>FELIPE RAMON GONCALVES GUIMARAES</t>
        </is>
      </c>
      <c r="E420" s="87" t="inlineStr">
        <is>
          <t>Azul</t>
        </is>
      </c>
      <c r="F420" s="87" t="inlineStr">
        <is>
          <t>Myrelle</t>
        </is>
      </c>
      <c r="G420" s="87" t="inlineStr">
        <is>
          <t>F</t>
        </is>
      </c>
      <c r="H420" s="80" t="n"/>
      <c r="I420" s="87" t="n"/>
      <c r="J420" s="87" t="inlineStr">
        <is>
          <t>Pendente</t>
        </is>
      </c>
      <c r="K420" s="60" t="n">
        <v>46121</v>
      </c>
      <c r="L420" s="87">
        <f>TEXT(A420,"mmmm")</f>
        <v/>
      </c>
    </row>
    <row r="421">
      <c r="A421" s="60" t="n">
        <v>46112</v>
      </c>
      <c r="B421" s="60" t="n">
        <v>46115</v>
      </c>
      <c r="C421" s="60" t="n">
        <v>46118</v>
      </c>
      <c r="D421" s="87" t="inlineStr">
        <is>
          <t>RAFAEL LUIZ FERREIRA</t>
        </is>
      </c>
      <c r="E421" s="87" t="inlineStr">
        <is>
          <t>Tokio</t>
        </is>
      </c>
      <c r="F421" s="87" t="inlineStr">
        <is>
          <t>John</t>
        </is>
      </c>
      <c r="G421" s="87" t="inlineStr">
        <is>
          <t>M</t>
        </is>
      </c>
      <c r="H421" s="80" t="n"/>
      <c r="I421" s="87" t="n"/>
      <c r="J421" s="87" t="inlineStr">
        <is>
          <t>Pendente</t>
        </is>
      </c>
      <c r="K421" s="60" t="n">
        <v>46121</v>
      </c>
      <c r="L421" s="87">
        <f>TEXT(A421,"mmmm")</f>
        <v/>
      </c>
    </row>
    <row r="422">
      <c r="A422" s="60" t="n">
        <v>46112</v>
      </c>
      <c r="B422" s="60" t="n">
        <v>46115</v>
      </c>
      <c r="C422" s="60" t="n">
        <v>46118</v>
      </c>
      <c r="D422" s="87" t="inlineStr">
        <is>
          <t>LEANDRO DE AQUINO MARTINS</t>
        </is>
      </c>
      <c r="E422" s="87" t="inlineStr">
        <is>
          <t>Suhai</t>
        </is>
      </c>
      <c r="F422" s="87" t="inlineStr">
        <is>
          <t>Leticia</t>
        </is>
      </c>
      <c r="G422" s="87" t="inlineStr">
        <is>
          <t>F</t>
        </is>
      </c>
      <c r="H422" s="80" t="n"/>
      <c r="I422" s="87" t="n"/>
      <c r="J422" s="87" t="inlineStr">
        <is>
          <t>Pendente</t>
        </is>
      </c>
      <c r="K422" s="60" t="n">
        <v>46121</v>
      </c>
      <c r="L422" s="87">
        <f>TEXT(A422,"mmmm")</f>
        <v/>
      </c>
    </row>
    <row r="423">
      <c r="A423" s="60" t="n">
        <v>46112</v>
      </c>
      <c r="B423" s="60" t="n">
        <v>46115</v>
      </c>
      <c r="C423" s="60" t="n">
        <v>46118</v>
      </c>
      <c r="D423" s="87" t="inlineStr">
        <is>
          <t>DANIELLE FERREIRA CRUZ SILVA</t>
        </is>
      </c>
      <c r="E423" s="87" t="inlineStr">
        <is>
          <t>Suhai</t>
        </is>
      </c>
      <c r="F423" s="87" t="inlineStr">
        <is>
          <t>Leticia</t>
        </is>
      </c>
      <c r="G423" s="87" t="inlineStr">
        <is>
          <t>F</t>
        </is>
      </c>
      <c r="H423" s="80" t="n"/>
      <c r="I423" s="87" t="n"/>
      <c r="J423" s="87" t="inlineStr">
        <is>
          <t>Pendente</t>
        </is>
      </c>
      <c r="K423" s="60" t="n">
        <v>46121</v>
      </c>
      <c r="L423" s="87">
        <f>TEXT(A423,"mmmm")</f>
        <v/>
      </c>
    </row>
    <row r="424">
      <c r="A424" s="60" t="n">
        <v>46113</v>
      </c>
      <c r="B424" s="60" t="n">
        <v>46116</v>
      </c>
      <c r="C424" s="60" t="n">
        <v>46119</v>
      </c>
      <c r="D424" s="87" t="inlineStr">
        <is>
          <t>JAIME DA SILVA</t>
        </is>
      </c>
      <c r="E424" s="87" t="inlineStr">
        <is>
          <t>Azul</t>
        </is>
      </c>
      <c r="F424" s="87" t="inlineStr">
        <is>
          <t>Jacqueline</t>
        </is>
      </c>
      <c r="G424" s="87" t="inlineStr">
        <is>
          <t>F</t>
        </is>
      </c>
      <c r="H424" s="78" t="n">
        <v>5519992746842</v>
      </c>
      <c r="I424" s="87" t="inlineStr">
        <is>
          <t>Novo</t>
        </is>
      </c>
      <c r="J424" s="87" t="inlineStr">
        <is>
          <t>Assinado</t>
        </is>
      </c>
      <c r="K424" s="60" t="n">
        <v>46122</v>
      </c>
      <c r="L424" s="87">
        <f>TEXT(A424,"mmmm")</f>
        <v/>
      </c>
    </row>
    <row r="425">
      <c r="A425" s="60" t="n">
        <v>46113</v>
      </c>
      <c r="B425" s="60" t="n">
        <v>46116</v>
      </c>
      <c r="C425" s="60" t="n">
        <v>46119</v>
      </c>
      <c r="D425" s="87" t="inlineStr">
        <is>
          <t>JORGE LUIS CONCEICAO</t>
        </is>
      </c>
      <c r="E425" s="87" t="inlineStr">
        <is>
          <t>Tokio</t>
        </is>
      </c>
      <c r="F425" s="87" t="inlineStr">
        <is>
          <t>Jacqueline</t>
        </is>
      </c>
      <c r="G425" s="87" t="inlineStr">
        <is>
          <t>F</t>
        </is>
      </c>
      <c r="H425" s="78" t="n">
        <v>5513981968694</v>
      </c>
      <c r="I425" s="87" t="inlineStr">
        <is>
          <t>Novo</t>
        </is>
      </c>
      <c r="J425" s="87" t="inlineStr">
        <is>
          <t>Assinado</t>
        </is>
      </c>
      <c r="K425" s="60" t="n">
        <v>46122</v>
      </c>
      <c r="L425" s="87">
        <f>TEXT(A425,"mmmm")</f>
        <v/>
      </c>
    </row>
    <row r="426">
      <c r="A426" s="60" t="n">
        <v>46113</v>
      </c>
      <c r="B426" s="60" t="n">
        <v>46116</v>
      </c>
      <c r="C426" s="60" t="n">
        <v>46119</v>
      </c>
      <c r="D426" s="87" t="inlineStr">
        <is>
          <t>DIONIZIO VIEIRA NETO</t>
        </is>
      </c>
      <c r="E426" s="87" t="inlineStr">
        <is>
          <t>Azul</t>
        </is>
      </c>
      <c r="F426" s="87" t="inlineStr">
        <is>
          <t>Leticia</t>
        </is>
      </c>
      <c r="G426" s="87" t="inlineStr">
        <is>
          <t>F</t>
        </is>
      </c>
      <c r="H426" s="78" t="n">
        <v>5511993309054</v>
      </c>
      <c r="I426" s="87" t="inlineStr">
        <is>
          <t>Novo</t>
        </is>
      </c>
      <c r="J426" s="87" t="inlineStr">
        <is>
          <t>Assinado</t>
        </is>
      </c>
      <c r="K426" s="60" t="n">
        <v>46122</v>
      </c>
      <c r="L426" s="87">
        <f>TEXT(A426,"mmmm")</f>
        <v/>
      </c>
    </row>
    <row r="427">
      <c r="A427" s="60" t="n">
        <v>46113</v>
      </c>
      <c r="B427" s="60" t="n">
        <v>46116</v>
      </c>
      <c r="C427" s="60" t="n">
        <v>46119</v>
      </c>
      <c r="D427" s="87" t="inlineStr">
        <is>
          <t>JONATHAN LIMA DE OLIVEIRA</t>
        </is>
      </c>
      <c r="E427" s="87" t="inlineStr">
        <is>
          <t>Tokio</t>
        </is>
      </c>
      <c r="F427" s="87" t="inlineStr">
        <is>
          <t>Leticia</t>
        </is>
      </c>
      <c r="G427" s="87" t="inlineStr">
        <is>
          <t>F</t>
        </is>
      </c>
      <c r="H427" s="78" t="n">
        <v>5511940271138</v>
      </c>
      <c r="I427" s="87" t="inlineStr">
        <is>
          <t>Novo</t>
        </is>
      </c>
      <c r="J427" s="87" t="inlineStr">
        <is>
          <t>Assinado(manual)</t>
        </is>
      </c>
      <c r="K427" s="60" t="n">
        <v>46122</v>
      </c>
      <c r="L427" s="87">
        <f>TEXT(A427,"mmmm")</f>
        <v/>
      </c>
    </row>
    <row r="428">
      <c r="A428" s="60" t="n">
        <v>46113</v>
      </c>
      <c r="B428" s="60" t="n">
        <v>46116</v>
      </c>
      <c r="C428" s="60" t="n">
        <v>46119</v>
      </c>
      <c r="D428" s="87" t="inlineStr">
        <is>
          <t>SIMONE CRISTINA DO NASCIMENTO</t>
        </is>
      </c>
      <c r="E428" s="87" t="inlineStr">
        <is>
          <t>Azul</t>
        </is>
      </c>
      <c r="F428" s="87" t="inlineStr">
        <is>
          <t>Leticia</t>
        </is>
      </c>
      <c r="G428" s="87" t="inlineStr">
        <is>
          <t>F</t>
        </is>
      </c>
      <c r="H428" s="78" t="n">
        <v>5516993139302</v>
      </c>
      <c r="I428" s="87" t="inlineStr">
        <is>
          <t>Novo</t>
        </is>
      </c>
      <c r="J428" s="87" t="inlineStr">
        <is>
          <t>Assinado(manual)</t>
        </is>
      </c>
      <c r="K428" s="60" t="n">
        <v>46122</v>
      </c>
      <c r="L428" s="87">
        <f>TEXT(A428,"mmmm")</f>
        <v/>
      </c>
    </row>
    <row r="429">
      <c r="A429" s="60" t="n">
        <v>46113</v>
      </c>
      <c r="B429" s="60" t="n">
        <v>46116</v>
      </c>
      <c r="C429" s="60" t="n">
        <v>46119</v>
      </c>
      <c r="D429" s="87" t="inlineStr">
        <is>
          <t>EDVALDO ROBERTO GOBI</t>
        </is>
      </c>
      <c r="E429" s="87" t="inlineStr">
        <is>
          <t>Azul</t>
        </is>
      </c>
      <c r="F429" s="87" t="inlineStr">
        <is>
          <t>Isabella</t>
        </is>
      </c>
      <c r="G429" s="87" t="inlineStr">
        <is>
          <t>F</t>
        </is>
      </c>
      <c r="H429" s="78" t="n">
        <v>5516991332768</v>
      </c>
      <c r="I429" s="87" t="inlineStr">
        <is>
          <t>Novo</t>
        </is>
      </c>
      <c r="J429" s="87" t="inlineStr">
        <is>
          <t>Assinado</t>
        </is>
      </c>
      <c r="K429" s="60" t="n">
        <v>46122</v>
      </c>
      <c r="L429" s="87">
        <f>TEXT(A429,"mmmm")</f>
        <v/>
      </c>
    </row>
    <row r="430">
      <c r="A430" s="60" t="n">
        <v>46113</v>
      </c>
      <c r="B430" s="60" t="n">
        <v>46116</v>
      </c>
      <c r="C430" s="60" t="n">
        <v>46119</v>
      </c>
      <c r="D430" s="87" t="inlineStr">
        <is>
          <t>LUCILA HELENA GOMES PEREIRA</t>
        </is>
      </c>
      <c r="E430" s="87" t="inlineStr">
        <is>
          <t>Azul</t>
        </is>
      </c>
      <c r="F430" s="87" t="inlineStr">
        <is>
          <t>Leticia</t>
        </is>
      </c>
      <c r="G430" s="87" t="inlineStr">
        <is>
          <t>F</t>
        </is>
      </c>
      <c r="H430" s="78" t="n">
        <v>5511991110707</v>
      </c>
      <c r="I430" s="87" t="inlineStr">
        <is>
          <t>Novo</t>
        </is>
      </c>
      <c r="J430" s="87" t="inlineStr">
        <is>
          <t>Assinado</t>
        </is>
      </c>
      <c r="K430" s="60" t="n">
        <v>46122</v>
      </c>
      <c r="L430" s="87">
        <f>TEXT(A430,"mmmm")</f>
        <v/>
      </c>
    </row>
    <row r="431">
      <c r="A431" s="60" t="n">
        <v>46114</v>
      </c>
      <c r="B431" s="60" t="n">
        <v>46117</v>
      </c>
      <c r="C431" s="60" t="n">
        <v>46120</v>
      </c>
      <c r="D431" s="87" t="inlineStr">
        <is>
          <t>LUZIA RODRIGUES DA SILVA FIGUEIREDO</t>
        </is>
      </c>
      <c r="E431" s="87" t="inlineStr">
        <is>
          <t>Allianz</t>
        </is>
      </c>
      <c r="F431" s="87" t="inlineStr">
        <is>
          <t>John</t>
        </is>
      </c>
      <c r="G431" s="87" t="inlineStr">
        <is>
          <t>M</t>
        </is>
      </c>
      <c r="H431" s="78" t="n">
        <v>5511912405458</v>
      </c>
      <c r="I431" s="87" t="inlineStr">
        <is>
          <t>Renovação</t>
        </is>
      </c>
      <c r="J431" s="87" t="inlineStr">
        <is>
          <t>Na planilha</t>
        </is>
      </c>
      <c r="K431" s="60" t="n">
        <v>46123</v>
      </c>
      <c r="L431" s="87">
        <f>TEXT(A431,"mmmm")</f>
        <v/>
      </c>
    </row>
    <row r="432">
      <c r="A432" s="60" t="n">
        <v>46114</v>
      </c>
      <c r="B432" s="60" t="n">
        <v>46117</v>
      </c>
      <c r="C432" s="60" t="n">
        <v>46120</v>
      </c>
      <c r="D432" s="87" t="inlineStr">
        <is>
          <t>DALVO ROSA FIGUEIREDO</t>
        </is>
      </c>
      <c r="E432" s="87" t="inlineStr">
        <is>
          <t>Porto</t>
        </is>
      </c>
      <c r="F432" s="87" t="inlineStr">
        <is>
          <t>John</t>
        </is>
      </c>
      <c r="G432" s="87" t="inlineStr">
        <is>
          <t>M</t>
        </is>
      </c>
      <c r="H432" s="78" t="n">
        <v>5519998593830</v>
      </c>
      <c r="I432" s="87" t="inlineStr">
        <is>
          <t>Renovação</t>
        </is>
      </c>
      <c r="J432" s="87" t="inlineStr">
        <is>
          <t>Na planilha</t>
        </is>
      </c>
      <c r="K432" s="60" t="n">
        <v>46123</v>
      </c>
      <c r="L432" s="87">
        <f>TEXT(A432,"mmmm")</f>
        <v/>
      </c>
    </row>
    <row r="433">
      <c r="A433" s="60" t="n">
        <v>46114</v>
      </c>
      <c r="B433" s="60" t="n">
        <v>46117</v>
      </c>
      <c r="C433" s="60" t="n">
        <v>46120</v>
      </c>
      <c r="D433" s="87" t="inlineStr">
        <is>
          <t>WILLIAM SILVA MOREIRA</t>
        </is>
      </c>
      <c r="E433" s="87" t="inlineStr">
        <is>
          <t>Azul</t>
        </is>
      </c>
      <c r="F433" s="87" t="inlineStr">
        <is>
          <t>Jacqueline</t>
        </is>
      </c>
      <c r="G433" s="87" t="inlineStr">
        <is>
          <t>F</t>
        </is>
      </c>
      <c r="H433" s="78" t="n">
        <v>5511967881645</v>
      </c>
      <c r="I433" s="87" t="inlineStr">
        <is>
          <t>Novo</t>
        </is>
      </c>
      <c r="J433" s="87" t="inlineStr">
        <is>
          <t>Assinado</t>
        </is>
      </c>
      <c r="K433" s="60" t="n">
        <v>46123</v>
      </c>
      <c r="L433" s="87">
        <f>TEXT(A433,"mmmm")</f>
        <v/>
      </c>
    </row>
    <row r="434">
      <c r="A434" s="60" t="n">
        <v>46114</v>
      </c>
      <c r="B434" s="60" t="n">
        <v>46117</v>
      </c>
      <c r="C434" s="60" t="n">
        <v>46120</v>
      </c>
      <c r="D434" s="87" t="inlineStr">
        <is>
          <t>CAIO CESAR CONCEICAO SANTANA</t>
        </is>
      </c>
      <c r="E434" s="87" t="inlineStr">
        <is>
          <t>Suhai</t>
        </is>
      </c>
      <c r="F434" s="87" t="inlineStr">
        <is>
          <t>John</t>
        </is>
      </c>
      <c r="G434" s="87" t="inlineStr">
        <is>
          <t>M</t>
        </is>
      </c>
      <c r="H434" s="78" t="n">
        <v>5511943247824</v>
      </c>
      <c r="I434" s="87" t="inlineStr">
        <is>
          <t>Renovação</t>
        </is>
      </c>
      <c r="J434" s="87" t="inlineStr">
        <is>
          <t>Assinado</t>
        </is>
      </c>
      <c r="K434" s="60" t="n">
        <v>46123</v>
      </c>
      <c r="L434" s="87">
        <f>TEXT(A434,"mmmm")</f>
        <v/>
      </c>
    </row>
    <row r="435">
      <c r="A435" s="60" t="n">
        <v>46114</v>
      </c>
      <c r="B435" s="60" t="n">
        <v>46117</v>
      </c>
      <c r="C435" s="60" t="n">
        <v>46120</v>
      </c>
      <c r="D435" s="87" t="inlineStr">
        <is>
          <t>CESAR FLORENCIO ALVES</t>
        </is>
      </c>
      <c r="E435" s="87" t="inlineStr">
        <is>
          <t>Azul</t>
        </is>
      </c>
      <c r="F435" s="87" t="inlineStr">
        <is>
          <t>Enzo</t>
        </is>
      </c>
      <c r="G435" s="87" t="inlineStr">
        <is>
          <t>M</t>
        </is>
      </c>
      <c r="H435" s="78" t="n">
        <v>5516991487210</v>
      </c>
      <c r="I435" s="87" t="inlineStr">
        <is>
          <t>Novo</t>
        </is>
      </c>
      <c r="J435" s="87" t="inlineStr">
        <is>
          <t>Na planilha</t>
        </is>
      </c>
      <c r="K435" s="60" t="n">
        <v>46123</v>
      </c>
      <c r="L435" s="87">
        <f>TEXT(A435,"mmmm")</f>
        <v/>
      </c>
    </row>
    <row r="436">
      <c r="A436" s="60" t="n">
        <v>46114</v>
      </c>
      <c r="B436" s="60" t="n">
        <v>46117</v>
      </c>
      <c r="C436" s="60" t="n">
        <v>46120</v>
      </c>
      <c r="D436" s="87" t="inlineStr">
        <is>
          <t>ANTONIO TRIGUEIRO CARLOS</t>
        </is>
      </c>
      <c r="E436" s="87" t="inlineStr">
        <is>
          <t>Suhai</t>
        </is>
      </c>
      <c r="F436" s="87" t="inlineStr">
        <is>
          <t>Leticia</t>
        </is>
      </c>
      <c r="G436" s="87" t="inlineStr">
        <is>
          <t>F</t>
        </is>
      </c>
      <c r="H436" s="78" t="n">
        <v>5511912228580</v>
      </c>
      <c r="I436" s="87" t="inlineStr">
        <is>
          <t>Novo</t>
        </is>
      </c>
      <c r="J436" s="87" t="inlineStr">
        <is>
          <t>Assinado</t>
        </is>
      </c>
      <c r="K436" s="60" t="n">
        <v>46123</v>
      </c>
      <c r="L436" s="87">
        <f>TEXT(A436,"mmmm")</f>
        <v/>
      </c>
    </row>
    <row r="437">
      <c r="A437" s="60" t="n">
        <v>46114</v>
      </c>
      <c r="B437" s="60" t="n">
        <v>46117</v>
      </c>
      <c r="C437" s="60" t="n">
        <v>46120</v>
      </c>
      <c r="D437" s="87" t="inlineStr">
        <is>
          <t>VANDEVALDO SOUSA COSTA</t>
        </is>
      </c>
      <c r="E437" s="87" t="inlineStr">
        <is>
          <t>Itaú</t>
        </is>
      </c>
      <c r="F437" s="87" t="inlineStr">
        <is>
          <t>Jacqueline</t>
        </is>
      </c>
      <c r="G437" s="87" t="inlineStr">
        <is>
          <t>F</t>
        </is>
      </c>
      <c r="H437" s="78" t="n">
        <v>5511971885046</v>
      </c>
      <c r="I437" s="87" t="inlineStr">
        <is>
          <t>Novo</t>
        </is>
      </c>
      <c r="J437" s="87" t="inlineStr">
        <is>
          <t>Erro</t>
        </is>
      </c>
      <c r="K437" s="60" t="n">
        <v>46123</v>
      </c>
      <c r="L437" s="87">
        <f>TEXT(A437,"mmmm")</f>
        <v/>
      </c>
    </row>
    <row r="438">
      <c r="A438" s="60" t="n">
        <v>46114</v>
      </c>
      <c r="B438" s="60" t="n">
        <v>46117</v>
      </c>
      <c r="C438" s="60" t="n">
        <v>46120</v>
      </c>
      <c r="D438" s="87" t="inlineStr">
        <is>
          <t>JACIMARA DA SILVA NETO</t>
        </is>
      </c>
      <c r="E438" s="87" t="inlineStr">
        <is>
          <t>Suhai</t>
        </is>
      </c>
      <c r="F438" s="87" t="inlineStr">
        <is>
          <t>Jacqueline</t>
        </is>
      </c>
      <c r="G438" s="87" t="inlineStr">
        <is>
          <t>F</t>
        </is>
      </c>
      <c r="H438" s="78" t="n">
        <v>5511963680217</v>
      </c>
      <c r="I438" s="87" t="inlineStr">
        <is>
          <t>Novo</t>
        </is>
      </c>
      <c r="J438" s="87" t="inlineStr">
        <is>
          <t>Assinado</t>
        </is>
      </c>
      <c r="K438" s="60" t="n">
        <v>46123</v>
      </c>
      <c r="L438" s="87">
        <f>TEXT(A438,"mmmm")</f>
        <v/>
      </c>
    </row>
    <row r="439">
      <c r="A439" s="60" t="n">
        <v>46118</v>
      </c>
      <c r="B439" s="60" t="n">
        <v>46121</v>
      </c>
      <c r="C439" s="60" t="n">
        <v>46124</v>
      </c>
      <c r="D439" s="87" t="inlineStr">
        <is>
          <t>RODRIGO CARVALHO MARQUES</t>
        </is>
      </c>
      <c r="E439" s="87" t="inlineStr">
        <is>
          <t>Tokio</t>
        </is>
      </c>
      <c r="F439" s="87" t="inlineStr">
        <is>
          <t>Jéssica</t>
        </is>
      </c>
      <c r="G439" s="87" t="inlineStr">
        <is>
          <t>F</t>
        </is>
      </c>
      <c r="H439" s="78" t="n">
        <v>5519993619422</v>
      </c>
      <c r="I439" s="87" t="inlineStr">
        <is>
          <t>Novo</t>
        </is>
      </c>
      <c r="J439" s="87" t="inlineStr">
        <is>
          <t>Cancelado</t>
        </is>
      </c>
      <c r="K439" s="60" t="n">
        <v>46127</v>
      </c>
      <c r="L439" s="87">
        <f>TEXT(A439,"mmmm")</f>
        <v/>
      </c>
    </row>
    <row r="440">
      <c r="A440" s="60" t="n">
        <v>46118</v>
      </c>
      <c r="B440" s="60" t="n">
        <v>46121</v>
      </c>
      <c r="C440" s="60" t="n">
        <v>46124</v>
      </c>
      <c r="D440" s="87" t="inlineStr">
        <is>
          <t>GABRIELA BARBOSA CANDIDO DA SILVA</t>
        </is>
      </c>
      <c r="E440" s="87" t="inlineStr">
        <is>
          <t>Suhai</t>
        </is>
      </c>
      <c r="F440" s="87" t="inlineStr">
        <is>
          <t>Jéssica</t>
        </is>
      </c>
      <c r="G440" s="87" t="inlineStr">
        <is>
          <t>F</t>
        </is>
      </c>
      <c r="H440" s="78" t="n">
        <v>5511949958512</v>
      </c>
      <c r="I440" s="87" t="inlineStr">
        <is>
          <t>Novo</t>
        </is>
      </c>
      <c r="J440" s="87" t="inlineStr">
        <is>
          <t>Assinado</t>
        </is>
      </c>
      <c r="K440" s="60" t="n">
        <v>46127</v>
      </c>
      <c r="L440" s="87">
        <f>TEXT(A440,"mmmm")</f>
        <v/>
      </c>
    </row>
    <row r="441">
      <c r="A441" s="60" t="n">
        <v>46118</v>
      </c>
      <c r="B441" s="60" t="n">
        <v>46121</v>
      </c>
      <c r="C441" s="60" t="n">
        <v>46124</v>
      </c>
      <c r="D441" s="87" t="inlineStr">
        <is>
          <t>SONIA CORREIA DE SOUZA</t>
        </is>
      </c>
      <c r="E441" s="87" t="inlineStr">
        <is>
          <t>Azul</t>
        </is>
      </c>
      <c r="F441" s="87" t="inlineStr">
        <is>
          <t>Myrelle</t>
        </is>
      </c>
      <c r="G441" s="87" t="inlineStr">
        <is>
          <t>F</t>
        </is>
      </c>
      <c r="H441" s="78" t="n">
        <v>5511941836050</v>
      </c>
      <c r="I441" s="87" t="inlineStr">
        <is>
          <t>Novo</t>
        </is>
      </c>
      <c r="J441" s="87" t="inlineStr">
        <is>
          <t>Assinado</t>
        </is>
      </c>
      <c r="K441" s="60" t="n">
        <v>46127</v>
      </c>
      <c r="L441" s="87">
        <f>TEXT(A441,"mmmm")</f>
        <v/>
      </c>
    </row>
    <row r="442">
      <c r="A442" s="60" t="n">
        <v>46118</v>
      </c>
      <c r="B442" s="60" t="n">
        <v>46121</v>
      </c>
      <c r="C442" s="60" t="n">
        <v>46124</v>
      </c>
      <c r="D442" s="87" t="inlineStr">
        <is>
          <t>BRUNO OLIVEIRA DAS NEVES</t>
        </is>
      </c>
      <c r="E442" s="87" t="inlineStr">
        <is>
          <t>Suhai</t>
        </is>
      </c>
      <c r="F442" s="87" t="inlineStr">
        <is>
          <t>Myrelle</t>
        </is>
      </c>
      <c r="G442" s="87" t="inlineStr">
        <is>
          <t>F</t>
        </is>
      </c>
      <c r="H442" s="78" t="n">
        <v>5511998580036</v>
      </c>
      <c r="I442" s="87" t="inlineStr">
        <is>
          <t>Novo</t>
        </is>
      </c>
      <c r="J442" s="87" t="inlineStr">
        <is>
          <t>Assinado</t>
        </is>
      </c>
      <c r="K442" s="60" t="n">
        <v>46127</v>
      </c>
      <c r="L442" s="87">
        <f>TEXT(A442,"mmmm")</f>
        <v/>
      </c>
    </row>
    <row r="443">
      <c r="A443" s="60" t="n">
        <v>46118</v>
      </c>
      <c r="B443" s="60" t="n">
        <v>46121</v>
      </c>
      <c r="C443" s="60" t="n">
        <v>46124</v>
      </c>
      <c r="D443" s="87" t="inlineStr">
        <is>
          <t>INGRID SANTOS DA SILVA</t>
        </is>
      </c>
      <c r="E443" s="87" t="inlineStr">
        <is>
          <t>Suhai</t>
        </is>
      </c>
      <c r="F443" s="87" t="inlineStr">
        <is>
          <t>John</t>
        </is>
      </c>
      <c r="G443" s="87" t="inlineStr">
        <is>
          <t>M</t>
        </is>
      </c>
      <c r="H443" s="78" t="n">
        <v>5511914812462</v>
      </c>
      <c r="I443" s="87" t="inlineStr">
        <is>
          <t>Renovação</t>
        </is>
      </c>
      <c r="J443" s="87" t="inlineStr">
        <is>
          <t>Na planilha</t>
        </is>
      </c>
      <c r="K443" s="60" t="n">
        <v>46127</v>
      </c>
      <c r="L443" s="87">
        <f>TEXT(A443,"mmmm")</f>
        <v/>
      </c>
    </row>
    <row r="444">
      <c r="A444" s="60" t="n">
        <v>46118</v>
      </c>
      <c r="B444" s="60" t="n">
        <v>46121</v>
      </c>
      <c r="C444" s="60" t="n">
        <v>46124</v>
      </c>
      <c r="D444" s="87" t="inlineStr">
        <is>
          <t>ROSANA MARA DE ASSIS BERBARE</t>
        </is>
      </c>
      <c r="E444" s="87" t="inlineStr">
        <is>
          <t>Suhai</t>
        </is>
      </c>
      <c r="F444" s="87" t="inlineStr">
        <is>
          <t>John</t>
        </is>
      </c>
      <c r="G444" s="87" t="inlineStr">
        <is>
          <t>M</t>
        </is>
      </c>
      <c r="H444" s="78" t="n">
        <v>5511986510007</v>
      </c>
      <c r="I444" s="87" t="inlineStr">
        <is>
          <t>Renovação</t>
        </is>
      </c>
      <c r="J444" s="87" t="inlineStr">
        <is>
          <t>Assinado</t>
        </is>
      </c>
      <c r="K444" s="60" t="n">
        <v>46127</v>
      </c>
      <c r="L444" s="87">
        <f>TEXT(A444,"mmmm")</f>
        <v/>
      </c>
    </row>
    <row r="445">
      <c r="A445" s="60" t="n">
        <v>46118</v>
      </c>
      <c r="B445" s="60" t="n">
        <v>46121</v>
      </c>
      <c r="C445" s="60" t="n">
        <v>46124</v>
      </c>
      <c r="D445" s="87" t="inlineStr">
        <is>
          <t>JOSE GERALDO DA SILVA</t>
        </is>
      </c>
      <c r="E445" s="87" t="inlineStr">
        <is>
          <t>Tokio</t>
        </is>
      </c>
      <c r="F445" s="87" t="inlineStr">
        <is>
          <t>John</t>
        </is>
      </c>
      <c r="G445" s="87" t="inlineStr">
        <is>
          <t>M</t>
        </is>
      </c>
      <c r="H445" s="78" t="n">
        <v>5511983866617</v>
      </c>
      <c r="I445" s="87" t="inlineStr">
        <is>
          <t>Novo</t>
        </is>
      </c>
      <c r="J445" s="87" t="inlineStr">
        <is>
          <t>Assinado</t>
        </is>
      </c>
      <c r="K445" s="60" t="n">
        <v>46127</v>
      </c>
      <c r="L445" s="87">
        <f>TEXT(A445,"mmmm")</f>
        <v/>
      </c>
    </row>
    <row r="446">
      <c r="A446" s="60" t="n">
        <v>46118</v>
      </c>
      <c r="B446" s="60" t="n">
        <v>46121</v>
      </c>
      <c r="C446" s="60" t="n">
        <v>46124</v>
      </c>
      <c r="D446" s="87" t="inlineStr">
        <is>
          <t>LUIZ ROBERTO BIZUTTI</t>
        </is>
      </c>
      <c r="E446" s="87" t="inlineStr">
        <is>
          <t>Azul</t>
        </is>
      </c>
      <c r="F446" s="87" t="inlineStr">
        <is>
          <t>John</t>
        </is>
      </c>
      <c r="G446" s="87" t="inlineStr">
        <is>
          <t>M</t>
        </is>
      </c>
      <c r="H446" s="78" t="n">
        <v>5511963449404</v>
      </c>
      <c r="I446" s="87" t="inlineStr">
        <is>
          <t>Renovação</t>
        </is>
      </c>
      <c r="J446" s="87" t="inlineStr">
        <is>
          <t>Na planilha</t>
        </is>
      </c>
      <c r="K446" s="60" t="n">
        <v>46127</v>
      </c>
      <c r="L446" s="87">
        <f>TEXT(A446,"mmmm")</f>
        <v/>
      </c>
    </row>
    <row r="447">
      <c r="A447" s="60" t="n">
        <v>46118</v>
      </c>
      <c r="B447" s="60" t="n">
        <v>46121</v>
      </c>
      <c r="C447" s="60" t="n">
        <v>46124</v>
      </c>
      <c r="D447" s="87" t="inlineStr">
        <is>
          <t>MARCIO PAULO JORDANO</t>
        </is>
      </c>
      <c r="E447" s="87" t="inlineStr">
        <is>
          <t>Suhai</t>
        </is>
      </c>
      <c r="F447" s="87" t="inlineStr">
        <is>
          <t>Enzo</t>
        </is>
      </c>
      <c r="G447" s="87" t="inlineStr">
        <is>
          <t>M</t>
        </is>
      </c>
      <c r="H447" s="78" t="n">
        <v>5511920014005</v>
      </c>
      <c r="I447" s="87" t="inlineStr">
        <is>
          <t>Novo</t>
        </is>
      </c>
      <c r="J447" s="87" t="inlineStr">
        <is>
          <t>Assinado</t>
        </is>
      </c>
      <c r="K447" s="60" t="n">
        <v>46127</v>
      </c>
      <c r="L447" s="87">
        <f>TEXT(A447,"mmmm")</f>
        <v/>
      </c>
    </row>
    <row r="448">
      <c r="A448" s="60" t="n">
        <v>46118</v>
      </c>
      <c r="B448" s="60" t="n">
        <v>46121</v>
      </c>
      <c r="C448" s="60" t="n">
        <v>46124</v>
      </c>
      <c r="D448" s="87" t="inlineStr">
        <is>
          <t>JOAO BATISTA JOSE DE SA</t>
        </is>
      </c>
      <c r="E448" s="87" t="inlineStr">
        <is>
          <t>Mapfre</t>
        </is>
      </c>
      <c r="F448" s="87" t="inlineStr">
        <is>
          <t>Enzo</t>
        </is>
      </c>
      <c r="G448" s="87" t="inlineStr">
        <is>
          <t>M</t>
        </is>
      </c>
      <c r="H448" s="78" t="n">
        <v>5519997890452</v>
      </c>
      <c r="I448" s="87" t="inlineStr">
        <is>
          <t>Novo</t>
        </is>
      </c>
      <c r="J448" s="87" t="inlineStr">
        <is>
          <t>Na planilha</t>
        </is>
      </c>
      <c r="K448" s="60" t="n">
        <v>46127</v>
      </c>
      <c r="L448" s="87">
        <f>TEXT(A448,"mmmm")</f>
        <v/>
      </c>
    </row>
    <row r="449">
      <c r="A449" s="60" t="n">
        <v>46118</v>
      </c>
      <c r="B449" s="60" t="n">
        <v>46121</v>
      </c>
      <c r="C449" s="60" t="n">
        <v>46124</v>
      </c>
      <c r="D449" s="87" t="inlineStr">
        <is>
          <t>ANTONIO RODRIGO LOPES</t>
        </is>
      </c>
      <c r="E449" s="87" t="inlineStr">
        <is>
          <t>Azul</t>
        </is>
      </c>
      <c r="F449" s="87" t="inlineStr">
        <is>
          <t>Jacqueline</t>
        </is>
      </c>
      <c r="G449" s="87" t="inlineStr">
        <is>
          <t>F</t>
        </is>
      </c>
      <c r="H449" s="78" t="n">
        <v>5561985575101</v>
      </c>
      <c r="I449" s="87" t="inlineStr">
        <is>
          <t>Novo</t>
        </is>
      </c>
      <c r="J449" s="87" t="inlineStr">
        <is>
          <t>Assinado</t>
        </is>
      </c>
      <c r="K449" s="60" t="n">
        <v>46127</v>
      </c>
      <c r="L449" s="87">
        <f>TEXT(A449,"mmmm")</f>
        <v/>
      </c>
    </row>
    <row r="450">
      <c r="A450" s="60" t="n">
        <v>46118</v>
      </c>
      <c r="B450" s="60" t="n">
        <v>46121</v>
      </c>
      <c r="C450" s="60" t="n">
        <v>46124</v>
      </c>
      <c r="D450" s="87" t="inlineStr">
        <is>
          <t>MARCIO NUNES LOPES</t>
        </is>
      </c>
      <c r="E450" s="87" t="inlineStr">
        <is>
          <t>Tokio</t>
        </is>
      </c>
      <c r="F450" s="87" t="inlineStr">
        <is>
          <t>John</t>
        </is>
      </c>
      <c r="G450" s="87" t="inlineStr">
        <is>
          <t>M</t>
        </is>
      </c>
      <c r="H450" s="78" t="n">
        <v>5513988408603</v>
      </c>
      <c r="I450" s="87" t="inlineStr">
        <is>
          <t>Novo</t>
        </is>
      </c>
      <c r="J450" s="87" t="inlineStr">
        <is>
          <t>Assinado</t>
        </is>
      </c>
      <c r="K450" s="60" t="n">
        <v>46127</v>
      </c>
      <c r="L450" s="87">
        <f>TEXT(A450,"mmmm")</f>
        <v/>
      </c>
    </row>
    <row r="451">
      <c r="A451" s="60" t="n">
        <v>46119</v>
      </c>
      <c r="B451" s="60" t="n">
        <v>46122</v>
      </c>
      <c r="C451" s="60" t="n">
        <v>46125</v>
      </c>
      <c r="D451" s="87" t="inlineStr">
        <is>
          <t>ARIOVALDO DONIZETE DE SOUZA LIMA</t>
        </is>
      </c>
      <c r="E451" s="87" t="inlineStr">
        <is>
          <t>Suhai</t>
        </is>
      </c>
      <c r="F451" s="87" t="inlineStr">
        <is>
          <t>Jacqueline</t>
        </is>
      </c>
      <c r="G451" s="87" t="inlineStr">
        <is>
          <t>F</t>
        </is>
      </c>
      <c r="H451" s="78" t="n">
        <v>5511920451992</v>
      </c>
      <c r="I451" s="87" t="inlineStr">
        <is>
          <t>Novo</t>
        </is>
      </c>
      <c r="J451" s="87" t="inlineStr">
        <is>
          <t>Na planilha</t>
        </is>
      </c>
      <c r="K451" s="60" t="n">
        <v>46128</v>
      </c>
      <c r="L451" s="87">
        <f>TEXT(A451,"mmmm")</f>
        <v/>
      </c>
    </row>
    <row r="452">
      <c r="A452" s="60" t="n">
        <v>46119</v>
      </c>
      <c r="B452" s="60" t="n">
        <v>46122</v>
      </c>
      <c r="C452" s="60" t="n">
        <v>46125</v>
      </c>
      <c r="D452" s="87" t="inlineStr">
        <is>
          <t>JOSE BARBOZA</t>
        </is>
      </c>
      <c r="E452" s="87" t="inlineStr">
        <is>
          <t>Mapfre</t>
        </is>
      </c>
      <c r="F452" s="87" t="inlineStr">
        <is>
          <t>Jéssica</t>
        </is>
      </c>
      <c r="G452" s="87" t="inlineStr">
        <is>
          <t>F</t>
        </is>
      </c>
      <c r="H452" s="78" t="n">
        <v>5511966584564</v>
      </c>
      <c r="I452" s="87" t="inlineStr">
        <is>
          <t>Novo</t>
        </is>
      </c>
      <c r="J452" s="87" t="inlineStr">
        <is>
          <t>Cancelado</t>
        </is>
      </c>
      <c r="K452" s="60" t="n">
        <v>46128</v>
      </c>
      <c r="L452" s="87">
        <f>TEXT(A452,"mmmm")</f>
        <v/>
      </c>
    </row>
    <row r="453">
      <c r="A453" s="60" t="n">
        <v>46119</v>
      </c>
      <c r="B453" s="60" t="n">
        <v>46122</v>
      </c>
      <c r="C453" s="60" t="n">
        <v>46125</v>
      </c>
      <c r="D453" s="87" t="inlineStr">
        <is>
          <t>JOABE FERREIRA LAURENTINO</t>
        </is>
      </c>
      <c r="E453" s="87" t="inlineStr">
        <is>
          <t>Suhai</t>
        </is>
      </c>
      <c r="F453" s="87" t="inlineStr">
        <is>
          <t>Leticia</t>
        </is>
      </c>
      <c r="G453" s="87" t="inlineStr">
        <is>
          <t>F</t>
        </is>
      </c>
      <c r="H453" s="78" t="n">
        <v>5511964694654</v>
      </c>
      <c r="I453" s="87" t="inlineStr">
        <is>
          <t>Novo</t>
        </is>
      </c>
      <c r="J453" s="87" t="inlineStr">
        <is>
          <t>Assinado(manual)</t>
        </is>
      </c>
      <c r="K453" s="60" t="n">
        <v>46128</v>
      </c>
      <c r="L453" s="87">
        <f>TEXT(A453,"mmmm")</f>
        <v/>
      </c>
    </row>
    <row r="454">
      <c r="A454" s="60" t="n">
        <v>46119</v>
      </c>
      <c r="B454" s="60" t="n">
        <v>46122</v>
      </c>
      <c r="C454" s="60" t="n">
        <v>46125</v>
      </c>
      <c r="D454" s="87" t="inlineStr">
        <is>
          <t>AGNALDO RIBEIRO DOS SANTOS</t>
        </is>
      </c>
      <c r="E454" s="87" t="inlineStr">
        <is>
          <t>Suhai</t>
        </is>
      </c>
      <c r="F454" s="87" t="inlineStr">
        <is>
          <t>John</t>
        </is>
      </c>
      <c r="G454" s="87" t="inlineStr">
        <is>
          <t>M</t>
        </is>
      </c>
      <c r="H454" s="78" t="n">
        <v>5511968265958</v>
      </c>
      <c r="I454" s="87" t="inlineStr">
        <is>
          <t>Renovação</t>
        </is>
      </c>
      <c r="J454" s="87" t="inlineStr">
        <is>
          <t>Na planilha</t>
        </is>
      </c>
      <c r="K454" s="60" t="n">
        <v>46128</v>
      </c>
      <c r="L454" s="87">
        <f>TEXT(A454,"mmmm")</f>
        <v/>
      </c>
    </row>
    <row r="455">
      <c r="A455" s="60" t="n">
        <v>46119</v>
      </c>
      <c r="B455" s="60" t="n">
        <v>46122</v>
      </c>
      <c r="C455" s="60" t="n">
        <v>46125</v>
      </c>
      <c r="D455" s="87" t="inlineStr">
        <is>
          <t>FRANCISCO LUDUJERO SANTOS DE JESUS</t>
        </is>
      </c>
      <c r="E455" s="87" t="inlineStr">
        <is>
          <t>Azul</t>
        </is>
      </c>
      <c r="F455" s="87" t="inlineStr">
        <is>
          <t>John</t>
        </is>
      </c>
      <c r="G455" s="87" t="inlineStr">
        <is>
          <t>M</t>
        </is>
      </c>
      <c r="H455" s="78" t="n">
        <v>5511958381074</v>
      </c>
      <c r="I455" s="87" t="inlineStr">
        <is>
          <t>Renovação</t>
        </is>
      </c>
      <c r="J455" s="87" t="inlineStr">
        <is>
          <t>Na planilha</t>
        </is>
      </c>
      <c r="K455" s="60" t="n">
        <v>46128</v>
      </c>
      <c r="L455" s="87">
        <f>TEXT(A455,"mmmm")</f>
        <v/>
      </c>
    </row>
    <row r="456">
      <c r="A456" s="60" t="n">
        <v>46119</v>
      </c>
      <c r="B456" s="60" t="n">
        <v>46122</v>
      </c>
      <c r="C456" s="60" t="n">
        <v>46125</v>
      </c>
      <c r="D456" s="87" t="inlineStr">
        <is>
          <t>JACQUELINE CASTRO ALMEIDA</t>
        </is>
      </c>
      <c r="E456" s="87" t="inlineStr">
        <is>
          <t>Azul</t>
        </is>
      </c>
      <c r="F456" s="87" t="inlineStr">
        <is>
          <t>John</t>
        </is>
      </c>
      <c r="G456" s="87" t="inlineStr">
        <is>
          <t>M</t>
        </is>
      </c>
      <c r="H456" s="78" t="n">
        <v>5511982932558</v>
      </c>
      <c r="I456" s="87" t="inlineStr">
        <is>
          <t>Renovação</t>
        </is>
      </c>
      <c r="J456" s="87" t="inlineStr">
        <is>
          <t>Assinado</t>
        </is>
      </c>
      <c r="K456" s="60" t="n">
        <v>46128</v>
      </c>
      <c r="L456" s="87">
        <f>TEXT(A456,"mmmm")</f>
        <v/>
      </c>
    </row>
    <row r="457">
      <c r="A457" s="60" t="n">
        <v>46119</v>
      </c>
      <c r="B457" s="60" t="n">
        <v>46122</v>
      </c>
      <c r="C457" s="60" t="n">
        <v>46125</v>
      </c>
      <c r="D457" s="87" t="inlineStr">
        <is>
          <t>NAILSON OLIVEIRA DIAS</t>
        </is>
      </c>
      <c r="E457" s="87" t="inlineStr">
        <is>
          <t>Bradesco</t>
        </is>
      </c>
      <c r="F457" s="87" t="inlineStr">
        <is>
          <t>John</t>
        </is>
      </c>
      <c r="G457" s="87" t="inlineStr">
        <is>
          <t>M</t>
        </is>
      </c>
      <c r="H457" s="78" t="n">
        <v>5511952211093</v>
      </c>
      <c r="I457" s="87" t="inlineStr">
        <is>
          <t>Novo</t>
        </is>
      </c>
      <c r="J457" s="87" t="inlineStr">
        <is>
          <t>Assinado</t>
        </is>
      </c>
      <c r="K457" s="60" t="n">
        <v>46128</v>
      </c>
      <c r="L457" s="87">
        <f>TEXT(A457,"mmmm")</f>
        <v/>
      </c>
    </row>
    <row r="458">
      <c r="A458" s="60" t="n">
        <v>46119</v>
      </c>
      <c r="B458" s="60" t="n">
        <v>46122</v>
      </c>
      <c r="C458" s="60" t="n">
        <v>46125</v>
      </c>
      <c r="D458" s="87" t="inlineStr">
        <is>
          <t>LUCICLEIA ANDRADE SOUZA</t>
        </is>
      </c>
      <c r="E458" s="87" t="inlineStr">
        <is>
          <t>Suhai</t>
        </is>
      </c>
      <c r="F458" s="87" t="inlineStr">
        <is>
          <t>John</t>
        </is>
      </c>
      <c r="G458" s="87" t="inlineStr">
        <is>
          <t>M</t>
        </is>
      </c>
      <c r="H458" s="78" t="n">
        <v>5511992431621</v>
      </c>
      <c r="I458" s="87" t="inlineStr">
        <is>
          <t>Novo</t>
        </is>
      </c>
      <c r="J458" s="87" t="inlineStr">
        <is>
          <t>Assinado</t>
        </is>
      </c>
      <c r="K458" s="60" t="n">
        <v>46128</v>
      </c>
      <c r="L458" s="87">
        <f>TEXT(A458,"mmmm")</f>
        <v/>
      </c>
    </row>
    <row r="459">
      <c r="A459" s="60" t="n">
        <v>46119</v>
      </c>
      <c r="B459" s="60" t="n">
        <v>46122</v>
      </c>
      <c r="C459" s="60" t="n">
        <v>46125</v>
      </c>
      <c r="D459" s="87" t="inlineStr">
        <is>
          <t>ADAILSON DO NASCIMENTO CARVALHO</t>
        </is>
      </c>
      <c r="E459" s="87" t="inlineStr">
        <is>
          <t>Suhai</t>
        </is>
      </c>
      <c r="F459" s="87" t="inlineStr">
        <is>
          <t>John</t>
        </is>
      </c>
      <c r="G459" s="87" t="inlineStr">
        <is>
          <t>M</t>
        </is>
      </c>
      <c r="H459" s="78" t="n">
        <v>5511980583514</v>
      </c>
      <c r="I459" s="87" t="inlineStr">
        <is>
          <t>Novo</t>
        </is>
      </c>
      <c r="J459" s="87" t="inlineStr">
        <is>
          <t>Assinado</t>
        </is>
      </c>
      <c r="K459" s="60" t="n">
        <v>46128</v>
      </c>
      <c r="L459" s="87">
        <f>TEXT(A459,"mmmm")</f>
        <v/>
      </c>
    </row>
    <row r="460">
      <c r="A460" s="60" t="n">
        <v>46119</v>
      </c>
      <c r="B460" s="60" t="n">
        <v>46122</v>
      </c>
      <c r="C460" s="60" t="n">
        <v>46125</v>
      </c>
      <c r="D460" s="87" t="inlineStr">
        <is>
          <t>JANIO DE SOUZA SOARES</t>
        </is>
      </c>
      <c r="E460" s="87" t="inlineStr">
        <is>
          <t>Azul</t>
        </is>
      </c>
      <c r="F460" s="87" t="inlineStr">
        <is>
          <t>John</t>
        </is>
      </c>
      <c r="G460" s="87" t="inlineStr">
        <is>
          <t>M</t>
        </is>
      </c>
      <c r="H460" s="78" t="n">
        <v>5511912592098</v>
      </c>
      <c r="I460" s="87" t="inlineStr">
        <is>
          <t>Novo</t>
        </is>
      </c>
      <c r="J460" s="87" t="inlineStr">
        <is>
          <t>Assinado</t>
        </is>
      </c>
      <c r="K460" s="60" t="n">
        <v>46128</v>
      </c>
      <c r="L460" s="87">
        <f>TEXT(A460,"mmmm")</f>
        <v/>
      </c>
    </row>
    <row r="461">
      <c r="A461" s="60" t="n">
        <v>46119</v>
      </c>
      <c r="B461" s="60" t="n">
        <v>46122</v>
      </c>
      <c r="C461" s="60" t="n">
        <v>46125</v>
      </c>
      <c r="D461" s="87" t="inlineStr">
        <is>
          <t>CLEUSA NASCIMENTO DA SILVA</t>
        </is>
      </c>
      <c r="E461" s="87" t="inlineStr">
        <is>
          <t>Azul</t>
        </is>
      </c>
      <c r="F461" s="87" t="inlineStr">
        <is>
          <t>John</t>
        </is>
      </c>
      <c r="G461" s="87" t="inlineStr">
        <is>
          <t>M</t>
        </is>
      </c>
      <c r="H461" s="78" t="n">
        <v>5511982717305</v>
      </c>
      <c r="I461" s="87" t="inlineStr">
        <is>
          <t>Novo</t>
        </is>
      </c>
      <c r="J461" s="87" t="inlineStr">
        <is>
          <t>Assinado</t>
        </is>
      </c>
      <c r="K461" s="60" t="n">
        <v>46128</v>
      </c>
      <c r="L461" s="87">
        <f>TEXT(A461,"mmmm")</f>
        <v/>
      </c>
    </row>
    <row r="462">
      <c r="A462" s="60" t="n">
        <v>46119</v>
      </c>
      <c r="B462" s="60" t="n">
        <v>46122</v>
      </c>
      <c r="C462" s="60" t="n">
        <v>46125</v>
      </c>
      <c r="D462" s="87" t="inlineStr">
        <is>
          <t>EDUARDO BORGE DE OLIVEIRA</t>
        </is>
      </c>
      <c r="E462" s="87" t="inlineStr">
        <is>
          <t>Azul</t>
        </is>
      </c>
      <c r="F462" s="87" t="inlineStr">
        <is>
          <t>Leticia</t>
        </is>
      </c>
      <c r="G462" s="87" t="inlineStr">
        <is>
          <t>F</t>
        </is>
      </c>
      <c r="H462" s="78" t="n">
        <v>5519993826267</v>
      </c>
      <c r="I462" s="87" t="inlineStr">
        <is>
          <t>Novo</t>
        </is>
      </c>
      <c r="J462" s="87" t="inlineStr">
        <is>
          <t>Assinado</t>
        </is>
      </c>
      <c r="K462" s="60" t="n">
        <v>46128</v>
      </c>
      <c r="L462" s="87">
        <f>TEXT(A462,"mmmm")</f>
        <v/>
      </c>
    </row>
    <row r="463">
      <c r="A463" s="60" t="n">
        <v>46120</v>
      </c>
      <c r="B463" s="60" t="n">
        <v>46123</v>
      </c>
      <c r="C463" s="60" t="n">
        <v>46126</v>
      </c>
      <c r="D463" s="87" t="inlineStr">
        <is>
          <t>ROBERTO MOREIRA DA SILVA</t>
        </is>
      </c>
      <c r="E463" s="87" t="inlineStr">
        <is>
          <t>HDI</t>
        </is>
      </c>
      <c r="F463" s="87" t="inlineStr">
        <is>
          <t>Isabella</t>
        </is>
      </c>
      <c r="G463" s="87" t="inlineStr">
        <is>
          <t>F</t>
        </is>
      </c>
      <c r="H463" s="78" t="n">
        <v>5511980429844</v>
      </c>
      <c r="I463" s="87" t="inlineStr">
        <is>
          <t>Novo</t>
        </is>
      </c>
      <c r="J463" s="87" t="inlineStr">
        <is>
          <t>Assinado</t>
        </is>
      </c>
      <c r="K463" s="60" t="n">
        <v>46129</v>
      </c>
      <c r="L463" s="87">
        <f>TEXT(A463,"mmmm")</f>
        <v/>
      </c>
    </row>
    <row r="464">
      <c r="A464" s="60" t="n">
        <v>46120</v>
      </c>
      <c r="B464" s="60" t="n">
        <v>46123</v>
      </c>
      <c r="C464" s="60" t="n">
        <v>46126</v>
      </c>
      <c r="D464" s="87" t="inlineStr">
        <is>
          <t>KAWAN SANTOS DE JESUS</t>
        </is>
      </c>
      <c r="E464" s="87" t="inlineStr">
        <is>
          <t>Suhai</t>
        </is>
      </c>
      <c r="F464" s="87" t="inlineStr">
        <is>
          <t>Isabella</t>
        </is>
      </c>
      <c r="G464" s="87" t="inlineStr">
        <is>
          <t>F</t>
        </is>
      </c>
      <c r="H464" s="78" t="n">
        <v>5511991897948</v>
      </c>
      <c r="I464" s="87" t="inlineStr">
        <is>
          <t>Novo</t>
        </is>
      </c>
      <c r="J464" s="87" t="inlineStr">
        <is>
          <t>Cancelado</t>
        </is>
      </c>
      <c r="K464" s="60" t="n">
        <v>46129</v>
      </c>
      <c r="L464" s="87">
        <f>TEXT(A464,"mmmm")</f>
        <v/>
      </c>
    </row>
    <row r="465">
      <c r="A465" s="60" t="n">
        <v>46120</v>
      </c>
      <c r="B465" s="60" t="n">
        <v>46123</v>
      </c>
      <c r="C465" s="60" t="n">
        <v>46126</v>
      </c>
      <c r="D465" s="87" t="inlineStr">
        <is>
          <t>MARIA FRANCISCA DE ALMEIDA RIBEIRO</t>
        </is>
      </c>
      <c r="E465" s="87" t="inlineStr">
        <is>
          <t>Tokio</t>
        </is>
      </c>
      <c r="F465" s="87" t="inlineStr">
        <is>
          <t>Isabella</t>
        </is>
      </c>
      <c r="G465" s="87" t="inlineStr">
        <is>
          <t>F</t>
        </is>
      </c>
      <c r="H465" s="78" t="n">
        <v>5538999627970</v>
      </c>
      <c r="I465" s="87" t="inlineStr">
        <is>
          <t>Novo</t>
        </is>
      </c>
      <c r="J465" s="87" t="inlineStr">
        <is>
          <t>Assinado</t>
        </is>
      </c>
      <c r="K465" s="60" t="n">
        <v>46129</v>
      </c>
      <c r="L465" s="87">
        <f>TEXT(A465,"mmmm")</f>
        <v/>
      </c>
    </row>
    <row r="466">
      <c r="A466" s="60" t="n">
        <v>46120</v>
      </c>
      <c r="B466" s="60" t="n">
        <v>46123</v>
      </c>
      <c r="C466" s="60" t="n">
        <v>46126</v>
      </c>
      <c r="D466" s="55" t="inlineStr">
        <is>
          <t>ANA MARA BARBOSA</t>
        </is>
      </c>
      <c r="E466" s="87" t="inlineStr">
        <is>
          <t>Azul</t>
        </is>
      </c>
      <c r="F466" s="87" t="inlineStr">
        <is>
          <t>Isabella</t>
        </is>
      </c>
      <c r="G466" s="87" t="inlineStr">
        <is>
          <t>F</t>
        </is>
      </c>
      <c r="H466" s="78" t="n">
        <v>5511973056348</v>
      </c>
      <c r="I466" s="87" t="inlineStr">
        <is>
          <t>Novo</t>
        </is>
      </c>
      <c r="J466" s="87" t="inlineStr">
        <is>
          <t>Assinado</t>
        </is>
      </c>
      <c r="K466" s="60" t="n">
        <v>46129</v>
      </c>
      <c r="L466" s="87">
        <f>TEXT(A466,"mmmm")</f>
        <v/>
      </c>
    </row>
    <row r="467">
      <c r="A467" s="60" t="n">
        <v>46120</v>
      </c>
      <c r="B467" s="60" t="n">
        <v>46123</v>
      </c>
      <c r="C467" s="60" t="n">
        <v>46126</v>
      </c>
      <c r="D467" s="87" t="inlineStr">
        <is>
          <t>FERNANDA MACHADO QUEIROZ</t>
        </is>
      </c>
      <c r="E467" s="87" t="inlineStr">
        <is>
          <t>Mapfre</t>
        </is>
      </c>
      <c r="F467" s="87" t="inlineStr">
        <is>
          <t>Isabella</t>
        </is>
      </c>
      <c r="G467" s="87" t="inlineStr">
        <is>
          <t>F</t>
        </is>
      </c>
      <c r="H467" s="78" t="n">
        <v>5511994966063</v>
      </c>
      <c r="I467" s="87" t="inlineStr">
        <is>
          <t>Novo</t>
        </is>
      </c>
      <c r="J467" s="87" t="inlineStr">
        <is>
          <t>Assinado</t>
        </is>
      </c>
      <c r="K467" s="60" t="n">
        <v>46129</v>
      </c>
      <c r="L467" s="87">
        <f>TEXT(A467,"mmmm")</f>
        <v/>
      </c>
    </row>
    <row r="468">
      <c r="A468" s="60" t="n">
        <v>46120</v>
      </c>
      <c r="B468" s="60" t="n">
        <v>46123</v>
      </c>
      <c r="C468" s="60" t="n">
        <v>46126</v>
      </c>
      <c r="D468" s="87" t="inlineStr">
        <is>
          <t>JOAQUIM DANIEL GUEDES</t>
        </is>
      </c>
      <c r="E468" s="87" t="inlineStr">
        <is>
          <t>Suhai</t>
        </is>
      </c>
      <c r="F468" s="87" t="inlineStr">
        <is>
          <t>Jacqueline</t>
        </is>
      </c>
      <c r="G468" s="87" t="inlineStr">
        <is>
          <t>F</t>
        </is>
      </c>
      <c r="H468" s="78" t="n">
        <v>5511968514708</v>
      </c>
      <c r="I468" s="87" t="inlineStr">
        <is>
          <t>Novo</t>
        </is>
      </c>
      <c r="J468" s="87" t="inlineStr">
        <is>
          <t>Assinado</t>
        </is>
      </c>
      <c r="K468" s="60" t="n">
        <v>46129</v>
      </c>
      <c r="L468" s="87">
        <f>TEXT(A468,"mmmm")</f>
        <v/>
      </c>
    </row>
    <row r="469">
      <c r="A469" s="60" t="n">
        <v>46120</v>
      </c>
      <c r="B469" s="60" t="n">
        <v>46123</v>
      </c>
      <c r="C469" s="60" t="n">
        <v>46126</v>
      </c>
      <c r="D469" s="87" t="inlineStr">
        <is>
          <t>LEOMIR FERREIRA DE ARAUJO</t>
        </is>
      </c>
      <c r="E469" s="87" t="inlineStr">
        <is>
          <t>Porto</t>
        </is>
      </c>
      <c r="F469" s="87" t="inlineStr">
        <is>
          <t>Jacqueline</t>
        </is>
      </c>
      <c r="G469" s="87" t="inlineStr">
        <is>
          <t>F</t>
        </is>
      </c>
      <c r="H469" s="78" t="n">
        <v>5561992291296</v>
      </c>
      <c r="I469" s="87" t="inlineStr">
        <is>
          <t>Novo</t>
        </is>
      </c>
      <c r="J469" s="87" t="inlineStr">
        <is>
          <t>Assinado</t>
        </is>
      </c>
      <c r="K469" s="60" t="n">
        <v>46129</v>
      </c>
      <c r="L469" s="87">
        <f>TEXT(A469,"mmmm")</f>
        <v/>
      </c>
    </row>
    <row r="470">
      <c r="A470" s="60" t="n">
        <v>46120</v>
      </c>
      <c r="B470" s="60" t="n">
        <v>46123</v>
      </c>
      <c r="C470" s="60" t="n">
        <v>46126</v>
      </c>
      <c r="D470" s="87" t="inlineStr">
        <is>
          <t>EDSON APARECIDO PAIN</t>
        </is>
      </c>
      <c r="E470" s="87" t="inlineStr">
        <is>
          <t>Azul</t>
        </is>
      </c>
      <c r="F470" s="87" t="inlineStr">
        <is>
          <t>Enzo</t>
        </is>
      </c>
      <c r="G470" s="87" t="inlineStr">
        <is>
          <t>M</t>
        </is>
      </c>
      <c r="H470" s="78" t="n">
        <v>5518998267602</v>
      </c>
      <c r="I470" s="87" t="inlineStr">
        <is>
          <t>Novo</t>
        </is>
      </c>
      <c r="J470" s="87" t="inlineStr">
        <is>
          <t>Assinado</t>
        </is>
      </c>
      <c r="K470" s="60" t="n">
        <v>46129</v>
      </c>
      <c r="L470" s="87">
        <f>TEXT(A470,"mmmm")</f>
        <v/>
      </c>
    </row>
    <row r="471">
      <c r="A471" s="60" t="n">
        <v>46120</v>
      </c>
      <c r="B471" s="60" t="n">
        <v>46123</v>
      </c>
      <c r="C471" s="60" t="n">
        <v>46126</v>
      </c>
      <c r="D471" s="87" t="inlineStr">
        <is>
          <t>EDUARDO NARCIZO DE ABREU</t>
        </is>
      </c>
      <c r="E471" s="87" t="inlineStr">
        <is>
          <t>Suhai</t>
        </is>
      </c>
      <c r="F471" s="87" t="inlineStr">
        <is>
          <t>Enzo</t>
        </is>
      </c>
      <c r="G471" s="87" t="inlineStr">
        <is>
          <t>M</t>
        </is>
      </c>
      <c r="H471" s="78" t="n">
        <v>5519996269596</v>
      </c>
      <c r="I471" s="87" t="inlineStr">
        <is>
          <t>Novo</t>
        </is>
      </c>
      <c r="J471" s="87" t="inlineStr">
        <is>
          <t>Assinado</t>
        </is>
      </c>
      <c r="K471" s="60" t="n">
        <v>46129</v>
      </c>
      <c r="L471" s="87">
        <f>TEXT(A471,"mmmm")</f>
        <v/>
      </c>
    </row>
    <row r="472">
      <c r="A472" s="60" t="n">
        <v>46120</v>
      </c>
      <c r="B472" s="60" t="n">
        <v>46123</v>
      </c>
      <c r="C472" s="60" t="n">
        <v>46126</v>
      </c>
      <c r="D472" s="87" t="inlineStr">
        <is>
          <t>JOAO TAVARES DE LIMA</t>
        </is>
      </c>
      <c r="E472" s="87" t="inlineStr">
        <is>
          <t>Azul</t>
        </is>
      </c>
      <c r="F472" s="87" t="inlineStr">
        <is>
          <t>Enzo</t>
        </is>
      </c>
      <c r="G472" s="87" t="inlineStr">
        <is>
          <t>M</t>
        </is>
      </c>
      <c r="H472" s="78" t="n">
        <v>5513981587623</v>
      </c>
      <c r="I472" s="87" t="inlineStr">
        <is>
          <t>Novo</t>
        </is>
      </c>
      <c r="J472" s="87" t="inlineStr">
        <is>
          <t>Assinado</t>
        </is>
      </c>
      <c r="K472" s="60" t="n">
        <v>46129</v>
      </c>
      <c r="L472" s="87">
        <f>TEXT(A472,"mmmm")</f>
        <v/>
      </c>
    </row>
    <row r="473">
      <c r="A473" s="60" t="n">
        <v>46120</v>
      </c>
      <c r="B473" s="60" t="n">
        <v>46123</v>
      </c>
      <c r="C473" s="60" t="n">
        <v>46126</v>
      </c>
      <c r="D473" s="87" t="inlineStr">
        <is>
          <t>ANA PAULA NAGATA DOS SANTOS</t>
        </is>
      </c>
      <c r="E473" s="87" t="inlineStr">
        <is>
          <t>Tokio</t>
        </is>
      </c>
      <c r="F473" s="87" t="inlineStr">
        <is>
          <t>Enzo</t>
        </is>
      </c>
      <c r="G473" s="87" t="inlineStr">
        <is>
          <t>M</t>
        </is>
      </c>
      <c r="H473" s="78" t="n">
        <v>5515997555416</v>
      </c>
      <c r="I473" s="87" t="inlineStr">
        <is>
          <t>Novo</t>
        </is>
      </c>
      <c r="J473" s="87" t="inlineStr">
        <is>
          <t>Cancelado</t>
        </is>
      </c>
      <c r="K473" s="60" t="n">
        <v>46129</v>
      </c>
      <c r="L473" s="87">
        <f>TEXT(A473,"mmmm")</f>
        <v/>
      </c>
    </row>
    <row r="474">
      <c r="A474" s="60" t="n">
        <v>46120</v>
      </c>
      <c r="B474" s="60" t="n">
        <v>46123</v>
      </c>
      <c r="C474" s="60" t="n">
        <v>46126</v>
      </c>
      <c r="D474" s="87" t="inlineStr">
        <is>
          <t>GUILHERME PIRES DOS SANTOS</t>
        </is>
      </c>
      <c r="E474" s="87" t="inlineStr">
        <is>
          <t>Suhai</t>
        </is>
      </c>
      <c r="F474" s="87" t="inlineStr">
        <is>
          <t>Leticia</t>
        </is>
      </c>
      <c r="G474" s="87" t="inlineStr">
        <is>
          <t>F</t>
        </is>
      </c>
      <c r="H474" s="78" t="n">
        <v>5511983382294</v>
      </c>
      <c r="I474" s="87" t="inlineStr">
        <is>
          <t>Novo</t>
        </is>
      </c>
      <c r="J474" s="87" t="inlineStr">
        <is>
          <t>Assinado</t>
        </is>
      </c>
      <c r="K474" s="60" t="n">
        <v>46129</v>
      </c>
      <c r="L474" s="87">
        <f>TEXT(A474,"mmmm")</f>
        <v/>
      </c>
    </row>
    <row r="475">
      <c r="A475" s="60" t="n">
        <v>46120</v>
      </c>
      <c r="B475" s="60" t="n">
        <v>46123</v>
      </c>
      <c r="C475" s="60" t="n">
        <v>46126</v>
      </c>
      <c r="D475" s="87" t="inlineStr">
        <is>
          <t>WESLEY RODRIGUES DA SILVA</t>
        </is>
      </c>
      <c r="E475" s="87" t="inlineStr">
        <is>
          <t>Suhai</t>
        </is>
      </c>
      <c r="F475" s="87" t="inlineStr">
        <is>
          <t>Leticia</t>
        </is>
      </c>
      <c r="G475" s="87" t="inlineStr">
        <is>
          <t>F</t>
        </is>
      </c>
      <c r="H475" s="78" t="n">
        <v>5519995685980</v>
      </c>
      <c r="I475" s="87" t="inlineStr">
        <is>
          <t>Novo</t>
        </is>
      </c>
      <c r="J475" s="87" t="inlineStr">
        <is>
          <t>Assinado</t>
        </is>
      </c>
      <c r="K475" s="60" t="n">
        <v>46129</v>
      </c>
      <c r="L475" s="87">
        <f>TEXT(A475,"mmmm")</f>
        <v/>
      </c>
    </row>
    <row r="476">
      <c r="A476" s="60" t="n">
        <v>46120</v>
      </c>
      <c r="B476" s="60" t="n">
        <v>46123</v>
      </c>
      <c r="C476" s="60" t="n">
        <v>46126</v>
      </c>
      <c r="D476" s="87" t="inlineStr">
        <is>
          <t>REINALDO DAS GRACAS DA SILVEIRA</t>
        </is>
      </c>
      <c r="E476" s="87" t="inlineStr">
        <is>
          <t>Suhai</t>
        </is>
      </c>
      <c r="F476" s="87" t="inlineStr">
        <is>
          <t>Jéssica</t>
        </is>
      </c>
      <c r="G476" s="87" t="inlineStr">
        <is>
          <t>F</t>
        </is>
      </c>
      <c r="H476" s="78" t="n">
        <v>5511993373171</v>
      </c>
      <c r="I476" s="87" t="inlineStr">
        <is>
          <t>Novo</t>
        </is>
      </c>
      <c r="J476" s="87" t="inlineStr">
        <is>
          <t>Na planilha</t>
        </is>
      </c>
      <c r="K476" s="60" t="n">
        <v>46129</v>
      </c>
      <c r="L476" s="87">
        <f>TEXT(A476,"mmmm")</f>
        <v/>
      </c>
    </row>
    <row r="477">
      <c r="A477" s="60" t="n">
        <v>46120</v>
      </c>
      <c r="B477" s="60" t="n">
        <v>46123</v>
      </c>
      <c r="C477" s="60" t="n">
        <v>46126</v>
      </c>
      <c r="D477" s="87" t="inlineStr">
        <is>
          <t>ELAINE APARECIDA DE OLIVEIRA</t>
        </is>
      </c>
      <c r="E477" s="87" t="inlineStr">
        <is>
          <t>Azul</t>
        </is>
      </c>
      <c r="F477" s="87" t="inlineStr">
        <is>
          <t>John</t>
        </is>
      </c>
      <c r="G477" s="87" t="inlineStr">
        <is>
          <t>M</t>
        </is>
      </c>
      <c r="H477" s="78" t="n">
        <v>5511954946119</v>
      </c>
      <c r="I477" s="87" t="inlineStr">
        <is>
          <t>Novo</t>
        </is>
      </c>
      <c r="J477" s="87" t="inlineStr">
        <is>
          <t>Na planilha</t>
        </is>
      </c>
      <c r="K477" s="60" t="n">
        <v>46129</v>
      </c>
      <c r="L477" s="87">
        <f>TEXT(A477,"mmmm")</f>
        <v/>
      </c>
    </row>
    <row r="478">
      <c r="A478" s="60" t="n">
        <v>46120</v>
      </c>
      <c r="B478" s="60" t="n">
        <v>46123</v>
      </c>
      <c r="C478" s="60" t="n">
        <v>46126</v>
      </c>
      <c r="D478" s="87" t="inlineStr">
        <is>
          <t>ALCEBIAS GUBERG DA SILVA</t>
        </is>
      </c>
      <c r="E478" s="87" t="inlineStr">
        <is>
          <t>Azul</t>
        </is>
      </c>
      <c r="F478" s="87" t="inlineStr">
        <is>
          <t>Myrelle</t>
        </is>
      </c>
      <c r="G478" s="87" t="inlineStr">
        <is>
          <t>F</t>
        </is>
      </c>
      <c r="H478" s="78" t="n">
        <v>5511915521769</v>
      </c>
      <c r="I478" s="87" t="inlineStr">
        <is>
          <t>Novo</t>
        </is>
      </c>
      <c r="J478" s="87" t="inlineStr">
        <is>
          <t>Assinado</t>
        </is>
      </c>
      <c r="K478" s="60" t="n">
        <v>46129</v>
      </c>
      <c r="L478" s="87">
        <f>TEXT(A478,"mmmm")</f>
        <v/>
      </c>
    </row>
    <row r="479">
      <c r="A479" s="60" t="n">
        <v>46120</v>
      </c>
      <c r="B479" s="60" t="n">
        <v>46123</v>
      </c>
      <c r="C479" s="60" t="n">
        <v>46126</v>
      </c>
      <c r="D479" s="87" t="inlineStr">
        <is>
          <t>VALENDIA CESAR BRUNY</t>
        </is>
      </c>
      <c r="E479" s="87" t="inlineStr">
        <is>
          <t>Suhai</t>
        </is>
      </c>
      <c r="F479" s="87" t="inlineStr">
        <is>
          <t>Jacqueline</t>
        </is>
      </c>
      <c r="G479" s="87" t="inlineStr">
        <is>
          <t>F</t>
        </is>
      </c>
      <c r="H479" s="78" t="n">
        <v>5519982017633</v>
      </c>
      <c r="I479" s="87" t="inlineStr">
        <is>
          <t>Novo</t>
        </is>
      </c>
      <c r="J479" s="87" t="inlineStr">
        <is>
          <t>Cancelado</t>
        </is>
      </c>
      <c r="K479" s="60" t="n">
        <v>46129</v>
      </c>
      <c r="L479" s="87">
        <f>TEXT(A479,"mmmm")</f>
        <v/>
      </c>
    </row>
    <row r="480">
      <c r="A480" s="60" t="n">
        <v>46120</v>
      </c>
      <c r="B480" s="60" t="n">
        <v>46123</v>
      </c>
      <c r="C480" s="60" t="n">
        <v>46126</v>
      </c>
      <c r="D480" s="87" t="inlineStr">
        <is>
          <t>JORGE LUIS CONCEICAO</t>
        </is>
      </c>
      <c r="E480" s="87" t="inlineStr">
        <is>
          <t>Tokio</t>
        </is>
      </c>
      <c r="F480" s="87" t="inlineStr">
        <is>
          <t>Jacqueline</t>
        </is>
      </c>
      <c r="G480" s="87" t="inlineStr">
        <is>
          <t>F</t>
        </is>
      </c>
      <c r="H480" s="78" t="n">
        <v>5513981968694</v>
      </c>
      <c r="I480" s="87" t="inlineStr">
        <is>
          <t>Novo</t>
        </is>
      </c>
      <c r="J480" s="87" t="inlineStr">
        <is>
          <t>Assinado</t>
        </is>
      </c>
      <c r="K480" s="60" t="n">
        <v>46129</v>
      </c>
      <c r="L480" s="87">
        <f>TEXT(A480,"mmmm")</f>
        <v/>
      </c>
    </row>
    <row r="481">
      <c r="A481" s="60" t="n">
        <v>46120</v>
      </c>
      <c r="B481" s="60" t="n">
        <v>46123</v>
      </c>
      <c r="C481" s="60" t="n">
        <v>46126</v>
      </c>
      <c r="D481" s="87" t="inlineStr">
        <is>
          <t>RAFAEL VIEIRA MOTA</t>
        </is>
      </c>
      <c r="E481" s="87" t="inlineStr">
        <is>
          <t>Suhai</t>
        </is>
      </c>
      <c r="F481" s="87" t="inlineStr">
        <is>
          <t>Myrelle</t>
        </is>
      </c>
      <c r="G481" s="87" t="inlineStr">
        <is>
          <t>F</t>
        </is>
      </c>
      <c r="H481" s="78" t="n">
        <v>5511978654717</v>
      </c>
      <c r="I481" s="87" t="inlineStr">
        <is>
          <t>Novo</t>
        </is>
      </c>
      <c r="J481" s="87" t="inlineStr">
        <is>
          <t>Assinado</t>
        </is>
      </c>
      <c r="K481" s="60" t="n">
        <v>46129</v>
      </c>
      <c r="L481" s="87">
        <f>TEXT(A481,"mmmm")</f>
        <v/>
      </c>
    </row>
    <row r="482">
      <c r="A482" s="60" t="n">
        <v>46121</v>
      </c>
      <c r="B482" s="60" t="n">
        <v>46124</v>
      </c>
      <c r="C482" s="60" t="n">
        <v>46127</v>
      </c>
      <c r="D482" s="87" t="inlineStr">
        <is>
          <t>WANDERSON DA SILVA SANTOS</t>
        </is>
      </c>
      <c r="E482" s="87" t="inlineStr">
        <is>
          <t>Suhai</t>
        </is>
      </c>
      <c r="F482" s="87" t="inlineStr">
        <is>
          <t>Enzo</t>
        </is>
      </c>
      <c r="G482" s="87" t="inlineStr">
        <is>
          <t>M</t>
        </is>
      </c>
      <c r="H482" s="78" t="n">
        <v>5511958748955</v>
      </c>
      <c r="I482" s="87" t="inlineStr">
        <is>
          <t>Novo</t>
        </is>
      </c>
      <c r="J482" s="87" t="inlineStr">
        <is>
          <t>Assinado</t>
        </is>
      </c>
      <c r="K482" s="60" t="n">
        <v>46130</v>
      </c>
      <c r="L482" s="87">
        <f>TEXT(A482,"mmmm")</f>
        <v/>
      </c>
    </row>
    <row r="483">
      <c r="A483" s="60" t="n">
        <v>46121</v>
      </c>
      <c r="B483" s="60" t="n">
        <v>46124</v>
      </c>
      <c r="C483" s="60" t="n">
        <v>46127</v>
      </c>
      <c r="D483" s="87" t="inlineStr">
        <is>
          <t>DIGMAR ROSOLINI JUNIOR</t>
        </is>
      </c>
      <c r="E483" s="87" t="inlineStr">
        <is>
          <t>Tokio</t>
        </is>
      </c>
      <c r="F483" s="87" t="inlineStr">
        <is>
          <t>Enzo</t>
        </is>
      </c>
      <c r="G483" s="87" t="inlineStr">
        <is>
          <t>M</t>
        </is>
      </c>
      <c r="H483" s="78" t="n">
        <v>5511975730239</v>
      </c>
      <c r="I483" s="87" t="inlineStr">
        <is>
          <t>Novo</t>
        </is>
      </c>
      <c r="J483" s="87" t="inlineStr">
        <is>
          <t>Assinado</t>
        </is>
      </c>
      <c r="K483" s="60" t="n">
        <v>46130</v>
      </c>
      <c r="L483" s="87">
        <f>TEXT(A483,"mmmm")</f>
        <v/>
      </c>
    </row>
    <row r="484">
      <c r="A484" s="60" t="n">
        <v>46121</v>
      </c>
      <c r="B484" s="60" t="n">
        <v>46124</v>
      </c>
      <c r="C484" s="60" t="n">
        <v>46127</v>
      </c>
      <c r="D484" s="87" t="inlineStr">
        <is>
          <t>ELIO TEIXEIRA DE OLIVEIRA</t>
        </is>
      </c>
      <c r="E484" s="87" t="inlineStr">
        <is>
          <t>Suhai</t>
        </is>
      </c>
      <c r="F484" s="87" t="inlineStr">
        <is>
          <t>John</t>
        </is>
      </c>
      <c r="G484" s="87" t="inlineStr">
        <is>
          <t>M</t>
        </is>
      </c>
      <c r="H484" s="78" t="n">
        <v>5511976042075</v>
      </c>
      <c r="I484" s="87" t="inlineStr">
        <is>
          <t>Novo</t>
        </is>
      </c>
      <c r="J484" s="87" t="inlineStr">
        <is>
          <t>Assinado</t>
        </is>
      </c>
      <c r="K484" s="60" t="n">
        <v>46130</v>
      </c>
      <c r="L484" s="87">
        <f>TEXT(A484,"mmmm")</f>
        <v/>
      </c>
    </row>
    <row r="485">
      <c r="A485" s="60" t="n">
        <v>46121</v>
      </c>
      <c r="B485" s="60" t="n">
        <v>46124</v>
      </c>
      <c r="C485" s="60" t="n">
        <v>46127</v>
      </c>
      <c r="D485" s="87" t="inlineStr">
        <is>
          <t>JANETE DA SILVA RAMOS</t>
        </is>
      </c>
      <c r="E485" s="87" t="inlineStr">
        <is>
          <t>Azul</t>
        </is>
      </c>
      <c r="F485" s="87" t="inlineStr">
        <is>
          <t>John</t>
        </is>
      </c>
      <c r="G485" s="87" t="inlineStr">
        <is>
          <t>M</t>
        </is>
      </c>
      <c r="H485" s="78" t="n">
        <v>5511992773910</v>
      </c>
      <c r="I485" s="87" t="inlineStr">
        <is>
          <t>Novo</t>
        </is>
      </c>
      <c r="J485" s="87" t="inlineStr">
        <is>
          <t>Assinado</t>
        </is>
      </c>
      <c r="K485" s="60" t="n">
        <v>46130</v>
      </c>
      <c r="L485" s="87">
        <f>TEXT(A485,"mmmm")</f>
        <v/>
      </c>
    </row>
    <row r="486">
      <c r="A486" s="60" t="n">
        <v>46121</v>
      </c>
      <c r="B486" s="60" t="n">
        <v>46124</v>
      </c>
      <c r="C486" s="60" t="n">
        <v>46127</v>
      </c>
      <c r="D486" s="87" t="inlineStr">
        <is>
          <t>RAYANE FRANCIELLY FERREIRA DE BRITO</t>
        </is>
      </c>
      <c r="E486" s="87" t="inlineStr">
        <is>
          <t>Porto</t>
        </is>
      </c>
      <c r="F486" s="87" t="inlineStr">
        <is>
          <t>John</t>
        </is>
      </c>
      <c r="G486" s="87" t="inlineStr">
        <is>
          <t>M</t>
        </is>
      </c>
      <c r="H486" s="78" t="n">
        <v>5511954659422</v>
      </c>
      <c r="I486" s="87" t="inlineStr">
        <is>
          <t>Novo</t>
        </is>
      </c>
      <c r="J486" s="87" t="inlineStr">
        <is>
          <t>Assinado(manual)</t>
        </is>
      </c>
      <c r="K486" s="60" t="n">
        <v>46130</v>
      </c>
      <c r="L486" s="87">
        <f>TEXT(A486,"mmmm")</f>
        <v/>
      </c>
    </row>
    <row r="487">
      <c r="A487" s="60" t="n">
        <v>46121</v>
      </c>
      <c r="B487" s="60" t="n">
        <v>46124</v>
      </c>
      <c r="C487" s="60" t="n">
        <v>46127</v>
      </c>
      <c r="D487" s="87" t="inlineStr">
        <is>
          <t>NATALICIO SOARES CAMPOS</t>
        </is>
      </c>
      <c r="E487" s="87" t="inlineStr">
        <is>
          <t>Mapfre</t>
        </is>
      </c>
      <c r="F487" s="87" t="inlineStr">
        <is>
          <t>Myrelle</t>
        </is>
      </c>
      <c r="G487" s="87" t="inlineStr">
        <is>
          <t>F</t>
        </is>
      </c>
      <c r="H487" s="78" t="n">
        <v>5511996465187</v>
      </c>
      <c r="I487" s="87" t="inlineStr">
        <is>
          <t>Novo</t>
        </is>
      </c>
      <c r="J487" s="87" t="inlineStr">
        <is>
          <t>Assinado</t>
        </is>
      </c>
      <c r="K487" s="60" t="n">
        <v>46130</v>
      </c>
      <c r="L487" s="87">
        <f>TEXT(A487,"mmmm")</f>
        <v/>
      </c>
    </row>
    <row r="488">
      <c r="A488" s="60" t="n">
        <v>46121</v>
      </c>
      <c r="B488" s="60" t="n">
        <v>46124</v>
      </c>
      <c r="C488" s="60" t="n">
        <v>46127</v>
      </c>
      <c r="D488" s="87" t="inlineStr">
        <is>
          <t>RAFAEL MIYASATO</t>
        </is>
      </c>
      <c r="E488" s="87" t="inlineStr">
        <is>
          <t>Porto</t>
        </is>
      </c>
      <c r="F488" s="87" t="inlineStr">
        <is>
          <t>John</t>
        </is>
      </c>
      <c r="G488" s="87" t="inlineStr">
        <is>
          <t>M</t>
        </is>
      </c>
      <c r="H488" s="78" t="n">
        <v>5511965983184</v>
      </c>
      <c r="I488" s="87" t="inlineStr">
        <is>
          <t>Novo</t>
        </is>
      </c>
      <c r="J488" s="87" t="inlineStr">
        <is>
          <t>Assinado</t>
        </is>
      </c>
      <c r="K488" s="60" t="n">
        <v>46130</v>
      </c>
      <c r="L488" s="87">
        <f>TEXT(A488,"mmmm")</f>
        <v/>
      </c>
    </row>
    <row r="489">
      <c r="A489" s="60" t="n">
        <v>46121</v>
      </c>
      <c r="B489" s="60" t="n">
        <v>46124</v>
      </c>
      <c r="C489" s="60" t="n">
        <v>46127</v>
      </c>
      <c r="D489" s="87" t="inlineStr">
        <is>
          <t>ROBERT ASSUNCAO LOPES</t>
        </is>
      </c>
      <c r="E489" s="87" t="inlineStr">
        <is>
          <t>Tokio</t>
        </is>
      </c>
      <c r="F489" s="87" t="inlineStr">
        <is>
          <t>Leticia</t>
        </is>
      </c>
      <c r="G489" s="87" t="inlineStr">
        <is>
          <t>F</t>
        </is>
      </c>
      <c r="H489" s="78" t="n">
        <v>5519987655585</v>
      </c>
      <c r="I489" s="87" t="inlineStr">
        <is>
          <t>Novo</t>
        </is>
      </c>
      <c r="J489" s="87" t="inlineStr">
        <is>
          <t>Assinado</t>
        </is>
      </c>
      <c r="K489" s="60" t="n">
        <v>46130</v>
      </c>
      <c r="L489" s="87">
        <f>TEXT(A489,"mmmm")</f>
        <v/>
      </c>
    </row>
    <row r="490">
      <c r="A490" s="60" t="n">
        <v>46122</v>
      </c>
      <c r="B490" s="60" t="n">
        <v>46125</v>
      </c>
      <c r="C490" s="60" t="n">
        <v>46128</v>
      </c>
      <c r="D490" s="87" t="inlineStr">
        <is>
          <t>RODRIGO HOMEM DA COSTA</t>
        </is>
      </c>
      <c r="E490" s="87" t="inlineStr">
        <is>
          <t>Tokio</t>
        </is>
      </c>
      <c r="F490" s="87" t="inlineStr">
        <is>
          <t>Leticia</t>
        </is>
      </c>
      <c r="G490" s="87" t="inlineStr">
        <is>
          <t>F</t>
        </is>
      </c>
      <c r="H490" s="78" t="n">
        <v>5513991493145</v>
      </c>
      <c r="I490" s="87" t="inlineStr">
        <is>
          <t>Novo</t>
        </is>
      </c>
      <c r="J490" s="87" t="inlineStr">
        <is>
          <t>Assinado</t>
        </is>
      </c>
      <c r="K490" s="60" t="n">
        <v>46131</v>
      </c>
      <c r="L490" s="87">
        <f>TEXT(A490,"mmmm")</f>
        <v/>
      </c>
    </row>
    <row r="491">
      <c r="A491" s="60" t="n">
        <v>46122</v>
      </c>
      <c r="B491" s="60" t="n">
        <v>46125</v>
      </c>
      <c r="C491" s="60" t="n">
        <v>46128</v>
      </c>
      <c r="D491" s="87" t="inlineStr">
        <is>
          <t>DEBORA GOMES ASSIS</t>
        </is>
      </c>
      <c r="E491" s="87" t="inlineStr">
        <is>
          <t>Azul</t>
        </is>
      </c>
      <c r="F491" s="87" t="inlineStr">
        <is>
          <t>John</t>
        </is>
      </c>
      <c r="G491" s="87" t="inlineStr">
        <is>
          <t>M</t>
        </is>
      </c>
      <c r="H491" s="78" t="n">
        <v>5511962103639</v>
      </c>
      <c r="I491" s="87" t="inlineStr">
        <is>
          <t>Renovação</t>
        </is>
      </c>
      <c r="J491" s="87" t="inlineStr">
        <is>
          <t>Assinado</t>
        </is>
      </c>
      <c r="K491" s="60" t="n">
        <v>46131</v>
      </c>
      <c r="L491" s="87">
        <f>TEXT(A491,"mmmm")</f>
        <v/>
      </c>
    </row>
    <row r="492">
      <c r="A492" s="60" t="n">
        <v>46122</v>
      </c>
      <c r="B492" s="60" t="n">
        <v>46125</v>
      </c>
      <c r="C492" s="60" t="n">
        <v>46128</v>
      </c>
      <c r="D492" s="87" t="inlineStr">
        <is>
          <t>VALTER DIAS DE SOUZA JUNIOR</t>
        </is>
      </c>
      <c r="E492" s="87" t="inlineStr">
        <is>
          <t>Tokio</t>
        </is>
      </c>
      <c r="F492" s="87" t="inlineStr">
        <is>
          <t>John</t>
        </is>
      </c>
      <c r="G492" s="87" t="inlineStr">
        <is>
          <t>M</t>
        </is>
      </c>
      <c r="H492" s="78" t="n">
        <v>5511954499526</v>
      </c>
      <c r="I492" s="87" t="inlineStr">
        <is>
          <t>Renovação</t>
        </is>
      </c>
      <c r="J492" s="87" t="inlineStr">
        <is>
          <t>Assinado</t>
        </is>
      </c>
      <c r="K492" s="60" t="n">
        <v>46131</v>
      </c>
      <c r="L492" s="87">
        <f>TEXT(A492,"mmmm")</f>
        <v/>
      </c>
    </row>
    <row r="493">
      <c r="A493" s="60" t="n">
        <v>46122</v>
      </c>
      <c r="B493" s="60" t="n">
        <v>46125</v>
      </c>
      <c r="C493" s="60" t="n">
        <v>46128</v>
      </c>
      <c r="D493" s="87" t="inlineStr">
        <is>
          <t>MARCELO DE LEIROS</t>
        </is>
      </c>
      <c r="E493" s="87" t="inlineStr">
        <is>
          <t>Azul</t>
        </is>
      </c>
      <c r="F493" s="87" t="inlineStr">
        <is>
          <t>John</t>
        </is>
      </c>
      <c r="G493" s="87" t="inlineStr">
        <is>
          <t>M</t>
        </is>
      </c>
      <c r="H493" s="78" t="n">
        <v>5511917210673</v>
      </c>
      <c r="I493" s="87" t="inlineStr">
        <is>
          <t>Novo</t>
        </is>
      </c>
      <c r="J493" s="87" t="inlineStr">
        <is>
          <t>Assinado</t>
        </is>
      </c>
      <c r="K493" s="60" t="n">
        <v>46131</v>
      </c>
      <c r="L493" s="87">
        <f>TEXT(A493,"mmmm")</f>
        <v/>
      </c>
    </row>
    <row r="494">
      <c r="A494" s="60" t="n">
        <v>46122</v>
      </c>
      <c r="B494" s="60" t="n">
        <v>46125</v>
      </c>
      <c r="C494" s="60" t="n">
        <v>46128</v>
      </c>
      <c r="D494" s="87" t="inlineStr">
        <is>
          <t>CLAYTON EVERTON COTA</t>
        </is>
      </c>
      <c r="E494" s="87" t="inlineStr">
        <is>
          <t>Porto</t>
        </is>
      </c>
      <c r="F494" s="87" t="inlineStr">
        <is>
          <t>John</t>
        </is>
      </c>
      <c r="G494" s="87" t="inlineStr">
        <is>
          <t>M</t>
        </is>
      </c>
      <c r="H494" s="78" t="n">
        <v>5511959242240</v>
      </c>
      <c r="I494" s="87" t="inlineStr">
        <is>
          <t>Novo</t>
        </is>
      </c>
      <c r="J494" s="87" t="inlineStr">
        <is>
          <t>Assinado</t>
        </is>
      </c>
      <c r="K494" s="60" t="n">
        <v>46131</v>
      </c>
      <c r="L494" s="87">
        <f>TEXT(A494,"mmmm")</f>
        <v/>
      </c>
    </row>
    <row r="495">
      <c r="A495" s="60" t="n">
        <v>46122</v>
      </c>
      <c r="B495" s="60" t="n">
        <v>46125</v>
      </c>
      <c r="C495" s="60" t="n">
        <v>46128</v>
      </c>
      <c r="D495" s="87" t="inlineStr">
        <is>
          <t>BRUNO NEVES PINHEIRO MAGALHAES</t>
        </is>
      </c>
      <c r="E495" s="87" t="inlineStr">
        <is>
          <t>Azul</t>
        </is>
      </c>
      <c r="F495" s="87" t="inlineStr">
        <is>
          <t>Jacqueline</t>
        </is>
      </c>
      <c r="G495" s="87" t="inlineStr">
        <is>
          <t>F</t>
        </is>
      </c>
      <c r="H495" s="78" t="n">
        <v>5511969076788</v>
      </c>
      <c r="I495" s="87" t="inlineStr">
        <is>
          <t>Novo</t>
        </is>
      </c>
      <c r="J495" s="87" t="inlineStr">
        <is>
          <t>Assinado</t>
        </is>
      </c>
      <c r="K495" s="60" t="n">
        <v>46131</v>
      </c>
      <c r="L495" s="87">
        <f>TEXT(A495,"mmmm")</f>
        <v/>
      </c>
    </row>
    <row r="496">
      <c r="A496" s="60" t="n">
        <v>46122</v>
      </c>
      <c r="B496" s="60" t="n">
        <v>46125</v>
      </c>
      <c r="C496" s="60" t="n">
        <v>46128</v>
      </c>
      <c r="D496" s="87" t="inlineStr">
        <is>
          <t>CARLOS ANTONIO BRAGA DE OLIVEIRA</t>
        </is>
      </c>
      <c r="E496" s="87" t="inlineStr">
        <is>
          <t>Suhai</t>
        </is>
      </c>
      <c r="F496" s="87" t="inlineStr">
        <is>
          <t>Leticia</t>
        </is>
      </c>
      <c r="G496" s="87" t="inlineStr">
        <is>
          <t>F</t>
        </is>
      </c>
      <c r="H496" s="78" t="n">
        <v>5531920059348</v>
      </c>
      <c r="I496" s="87" t="inlineStr">
        <is>
          <t>Novo</t>
        </is>
      </c>
      <c r="J496" s="87" t="inlineStr">
        <is>
          <t>Assinado</t>
        </is>
      </c>
      <c r="K496" s="60" t="n">
        <v>46131</v>
      </c>
      <c r="L496" s="87">
        <f>TEXT(A496,"mmmm")</f>
        <v/>
      </c>
    </row>
    <row r="497">
      <c r="A497" s="60" t="n">
        <v>46122</v>
      </c>
      <c r="B497" s="60" t="n">
        <v>46125</v>
      </c>
      <c r="C497" s="60" t="n">
        <v>46128</v>
      </c>
      <c r="D497" s="87" t="inlineStr">
        <is>
          <t>ELIEL PIMENTA</t>
        </is>
      </c>
      <c r="E497" s="87" t="inlineStr">
        <is>
          <t>Azul</t>
        </is>
      </c>
      <c r="F497" s="87" t="inlineStr">
        <is>
          <t>Enzo</t>
        </is>
      </c>
      <c r="G497" s="87" t="inlineStr">
        <is>
          <t>M</t>
        </is>
      </c>
      <c r="H497" s="78" t="n">
        <v>5519998869055</v>
      </c>
      <c r="I497" s="87" t="inlineStr">
        <is>
          <t>Novo</t>
        </is>
      </c>
      <c r="J497" s="87" t="inlineStr">
        <is>
          <t>Assinado</t>
        </is>
      </c>
      <c r="K497" s="60" t="n">
        <v>46131</v>
      </c>
      <c r="L497" s="87">
        <f>TEXT(A497,"mmmm")</f>
        <v/>
      </c>
    </row>
    <row r="498">
      <c r="A498" s="60" t="n">
        <v>46122</v>
      </c>
      <c r="B498" s="60" t="n">
        <v>46125</v>
      </c>
      <c r="C498" s="60" t="n">
        <v>46128</v>
      </c>
      <c r="D498" s="87" t="inlineStr">
        <is>
          <t>ROBERT ASSUNCAO LOPES</t>
        </is>
      </c>
      <c r="E498" s="87" t="inlineStr">
        <is>
          <t>Azul</t>
        </is>
      </c>
      <c r="F498" s="87" t="inlineStr">
        <is>
          <t>Leticia</t>
        </is>
      </c>
      <c r="G498" s="87" t="inlineStr">
        <is>
          <t>F</t>
        </is>
      </c>
      <c r="H498" s="78" t="n">
        <v>5519987655585</v>
      </c>
      <c r="I498" s="87" t="inlineStr">
        <is>
          <t>Novo</t>
        </is>
      </c>
      <c r="J498" s="87" t="inlineStr">
        <is>
          <t>Cancelado</t>
        </is>
      </c>
      <c r="K498" s="60" t="n">
        <v>46131</v>
      </c>
      <c r="L498" s="87">
        <f>TEXT(A498,"mmmm")</f>
        <v/>
      </c>
    </row>
    <row r="499">
      <c r="A499" s="60" t="n">
        <v>46122</v>
      </c>
      <c r="B499" s="60" t="n">
        <v>46125</v>
      </c>
      <c r="C499" s="60" t="n">
        <v>46128</v>
      </c>
      <c r="D499" s="87" t="inlineStr">
        <is>
          <t>HERMELINDO SILVIO JOSE ROMANO</t>
        </is>
      </c>
      <c r="E499" s="87" t="inlineStr">
        <is>
          <t>Tokio</t>
        </is>
      </c>
      <c r="F499" s="87" t="inlineStr">
        <is>
          <t>Jéssica</t>
        </is>
      </c>
      <c r="G499" s="87" t="inlineStr">
        <is>
          <t>F</t>
        </is>
      </c>
      <c r="H499" s="78" t="n">
        <v>5511981785336</v>
      </c>
      <c r="I499" s="87" t="inlineStr">
        <is>
          <t>Novo</t>
        </is>
      </c>
      <c r="J499" s="87" t="inlineStr">
        <is>
          <t>Assinado(manual)</t>
        </is>
      </c>
      <c r="K499" s="60" t="n">
        <v>46131</v>
      </c>
      <c r="L499" s="87">
        <f>TEXT(A499,"mmmm")</f>
        <v/>
      </c>
    </row>
    <row r="500">
      <c r="A500" s="60" t="n">
        <v>46122</v>
      </c>
      <c r="B500" s="60" t="n">
        <v>46125</v>
      </c>
      <c r="C500" s="60" t="n">
        <v>46128</v>
      </c>
      <c r="D500" s="87" t="inlineStr">
        <is>
          <t>ROBERTO CRUZ</t>
        </is>
      </c>
      <c r="E500" s="87" t="inlineStr">
        <is>
          <t>Azul</t>
        </is>
      </c>
      <c r="F500" s="87" t="inlineStr">
        <is>
          <t>Isabella</t>
        </is>
      </c>
      <c r="G500" s="87" t="inlineStr">
        <is>
          <t>F</t>
        </is>
      </c>
      <c r="H500" s="78" t="n">
        <v>5511992301607</v>
      </c>
      <c r="I500" s="87" t="inlineStr">
        <is>
          <t>Novo</t>
        </is>
      </c>
      <c r="J500" s="87" t="inlineStr">
        <is>
          <t>Assinado</t>
        </is>
      </c>
      <c r="K500" s="60" t="n">
        <v>46131</v>
      </c>
      <c r="L500" s="87">
        <f>TEXT(A500,"mmmm")</f>
        <v/>
      </c>
    </row>
    <row r="501">
      <c r="A501" s="60" t="n">
        <v>46122</v>
      </c>
      <c r="B501" s="60" t="n">
        <v>46125</v>
      </c>
      <c r="C501" s="60" t="n">
        <v>46128</v>
      </c>
      <c r="D501" s="87" t="inlineStr">
        <is>
          <t>LUIS HENRIQUE MORASSI DOS SANTOS COSME</t>
        </is>
      </c>
      <c r="E501" s="87" t="inlineStr">
        <is>
          <t>Tokio</t>
        </is>
      </c>
      <c r="F501" s="87" t="inlineStr">
        <is>
          <t>John</t>
        </is>
      </c>
      <c r="G501" s="87" t="inlineStr">
        <is>
          <t>M</t>
        </is>
      </c>
      <c r="H501" s="78" t="n">
        <v>5511952204109</v>
      </c>
      <c r="I501" s="87" t="inlineStr">
        <is>
          <t>Renovação</t>
        </is>
      </c>
      <c r="J501" s="87" t="inlineStr">
        <is>
          <t>Na planilha</t>
        </is>
      </c>
      <c r="K501" s="60" t="n">
        <v>46131</v>
      </c>
      <c r="L501" s="87">
        <f>TEXT(A501,"mmmm")</f>
        <v/>
      </c>
    </row>
    <row r="502">
      <c r="A502" s="60" t="n">
        <v>46125</v>
      </c>
      <c r="B502" s="60" t="n">
        <v>46128</v>
      </c>
      <c r="C502" s="60" t="n">
        <v>46131</v>
      </c>
      <c r="D502" s="87" t="inlineStr">
        <is>
          <t>JOSIMAR BERTACO DAVID</t>
        </is>
      </c>
      <c r="E502" s="87" t="inlineStr">
        <is>
          <t>Suhai</t>
        </is>
      </c>
      <c r="F502" s="87" t="inlineStr">
        <is>
          <t>Jacqueline</t>
        </is>
      </c>
      <c r="G502" s="87" t="inlineStr">
        <is>
          <t>F</t>
        </is>
      </c>
      <c r="H502" s="78" t="n">
        <v>5511961219577</v>
      </c>
      <c r="I502" s="87" t="inlineStr">
        <is>
          <t>Novo</t>
        </is>
      </c>
      <c r="J502" s="87" t="inlineStr">
        <is>
          <t>Cancelado</t>
        </is>
      </c>
      <c r="K502" s="60" t="n">
        <v>46134</v>
      </c>
      <c r="L502" s="87">
        <f>TEXT(A502,"mmmm")</f>
        <v/>
      </c>
    </row>
    <row r="503">
      <c r="A503" s="60" t="n">
        <v>46125</v>
      </c>
      <c r="B503" s="60" t="n">
        <v>46128</v>
      </c>
      <c r="C503" s="60" t="n">
        <v>46131</v>
      </c>
      <c r="D503" s="87" t="inlineStr">
        <is>
          <t>DIONIZIO VIEIRA NETO</t>
        </is>
      </c>
      <c r="E503" s="87" t="inlineStr">
        <is>
          <t>Suhai</t>
        </is>
      </c>
      <c r="F503" s="87" t="inlineStr">
        <is>
          <t>Leticia</t>
        </is>
      </c>
      <c r="G503" s="87" t="inlineStr">
        <is>
          <t>F</t>
        </is>
      </c>
      <c r="H503" s="78" t="n">
        <v>5511993309054</v>
      </c>
      <c r="I503" s="87" t="inlineStr">
        <is>
          <t>Novo</t>
        </is>
      </c>
      <c r="J503" s="87" t="inlineStr">
        <is>
          <t>Assinado</t>
        </is>
      </c>
      <c r="K503" s="60" t="n">
        <v>46134</v>
      </c>
      <c r="L503" s="87">
        <f>TEXT(A503,"mmmm")</f>
        <v/>
      </c>
    </row>
    <row r="504">
      <c r="A504" s="60" t="n">
        <v>46125</v>
      </c>
      <c r="B504" s="60" t="n">
        <v>46128</v>
      </c>
      <c r="C504" s="60" t="n">
        <v>46131</v>
      </c>
      <c r="D504" s="87" t="inlineStr">
        <is>
          <t>AGNALDO RIBEIRO DOS SANTOS</t>
        </is>
      </c>
      <c r="E504" s="87" t="inlineStr">
        <is>
          <t>Suhai</t>
        </is>
      </c>
      <c r="F504" s="87" t="inlineStr">
        <is>
          <t>John</t>
        </is>
      </c>
      <c r="G504" s="87" t="inlineStr">
        <is>
          <t>M</t>
        </is>
      </c>
      <c r="H504" s="78" t="n">
        <v>5511968265958</v>
      </c>
      <c r="I504" s="87" t="inlineStr">
        <is>
          <t>Renovação</t>
        </is>
      </c>
      <c r="J504" s="87" t="inlineStr">
        <is>
          <t>Na planilha</t>
        </is>
      </c>
      <c r="K504" s="60" t="n">
        <v>46134</v>
      </c>
      <c r="L504" s="87">
        <f>TEXT(A504,"mmmm")</f>
        <v/>
      </c>
    </row>
    <row r="505">
      <c r="A505" s="60" t="n">
        <v>46125</v>
      </c>
      <c r="B505" s="60" t="n">
        <v>46128</v>
      </c>
      <c r="C505" s="60" t="n">
        <v>46131</v>
      </c>
      <c r="D505" s="87" t="inlineStr">
        <is>
          <t>MARLENE PEREIRA JARDIM</t>
        </is>
      </c>
      <c r="E505" s="87" t="inlineStr">
        <is>
          <t>Azul</t>
        </is>
      </c>
      <c r="F505" s="87" t="inlineStr">
        <is>
          <t>John</t>
        </is>
      </c>
      <c r="G505" s="87" t="inlineStr">
        <is>
          <t>M</t>
        </is>
      </c>
      <c r="H505" s="78" t="n">
        <v>5511965773449</v>
      </c>
      <c r="I505" s="87" t="inlineStr">
        <is>
          <t>Renovação</t>
        </is>
      </c>
      <c r="J505" s="87" t="inlineStr">
        <is>
          <t>Assinado</t>
        </is>
      </c>
      <c r="K505" s="60" t="n">
        <v>46134</v>
      </c>
      <c r="L505" s="87">
        <f>TEXT(A505,"mmmm")</f>
        <v/>
      </c>
    </row>
    <row r="506">
      <c r="A506" s="60" t="n">
        <v>46125</v>
      </c>
      <c r="B506" s="60" t="n">
        <v>46128</v>
      </c>
      <c r="C506" s="60" t="n">
        <v>46131</v>
      </c>
      <c r="D506" s="87" t="inlineStr">
        <is>
          <t>GIOVANNA DUARTE REZENDE</t>
        </is>
      </c>
      <c r="E506" s="87" t="inlineStr">
        <is>
          <t>Suhai</t>
        </is>
      </c>
      <c r="F506" s="87" t="inlineStr">
        <is>
          <t>Jéssica</t>
        </is>
      </c>
      <c r="G506" s="87" t="inlineStr">
        <is>
          <t>F</t>
        </is>
      </c>
      <c r="H506" s="78" t="n">
        <v>5511976931443</v>
      </c>
      <c r="I506" s="87" t="inlineStr">
        <is>
          <t>Novo</t>
        </is>
      </c>
      <c r="J506" s="87" t="inlineStr">
        <is>
          <t>Assinado</t>
        </is>
      </c>
      <c r="K506" s="60" t="n">
        <v>46134</v>
      </c>
      <c r="L506" s="87">
        <f>TEXT(A506,"mmmm")</f>
        <v/>
      </c>
    </row>
    <row r="507">
      <c r="A507" s="60" t="n">
        <v>46125</v>
      </c>
      <c r="B507" s="60" t="n">
        <v>46128</v>
      </c>
      <c r="C507" s="60" t="n">
        <v>46131</v>
      </c>
      <c r="D507" s="87" t="inlineStr">
        <is>
          <t>EVELLYN FIORAVANTI MARTINS DE SOUZA</t>
        </is>
      </c>
      <c r="E507" s="87" t="inlineStr">
        <is>
          <t>Suhai</t>
        </is>
      </c>
      <c r="F507" s="87" t="inlineStr">
        <is>
          <t>Jacqueline</t>
        </is>
      </c>
      <c r="G507" s="87" t="inlineStr">
        <is>
          <t>F</t>
        </is>
      </c>
      <c r="H507" s="78" t="n">
        <v>5511943910370</v>
      </c>
      <c r="I507" s="87" t="inlineStr">
        <is>
          <t>Novo</t>
        </is>
      </c>
      <c r="J507" s="87" t="inlineStr">
        <is>
          <t>Na planilha</t>
        </is>
      </c>
      <c r="K507" s="60" t="n">
        <v>46134</v>
      </c>
      <c r="L507" s="87">
        <f>TEXT(A507,"mmmm")</f>
        <v/>
      </c>
    </row>
    <row r="508">
      <c r="A508" s="60" t="n">
        <v>46125</v>
      </c>
      <c r="B508" s="60" t="n">
        <v>46128</v>
      </c>
      <c r="C508" s="60" t="n">
        <v>46131</v>
      </c>
      <c r="D508" s="87" t="inlineStr">
        <is>
          <t>JOAO VICTOR FIGUEIRA SERAFIM</t>
        </is>
      </c>
      <c r="E508" s="87" t="inlineStr">
        <is>
          <t>Azul</t>
        </is>
      </c>
      <c r="F508" s="87" t="inlineStr">
        <is>
          <t>Jacqueline</t>
        </is>
      </c>
      <c r="G508" s="87" t="inlineStr">
        <is>
          <t>F</t>
        </is>
      </c>
      <c r="H508" s="78" t="n">
        <v>5511969267697</v>
      </c>
      <c r="I508" s="87" t="inlineStr">
        <is>
          <t>Novo</t>
        </is>
      </c>
      <c r="J508" s="87" t="inlineStr">
        <is>
          <t>Assinado</t>
        </is>
      </c>
      <c r="K508" s="60" t="n">
        <v>46134</v>
      </c>
      <c r="L508" s="87">
        <f>TEXT(A508,"mmmm")</f>
        <v/>
      </c>
    </row>
    <row r="509">
      <c r="A509" s="60" t="n">
        <v>46125</v>
      </c>
      <c r="B509" s="60" t="n">
        <v>46128</v>
      </c>
      <c r="C509" s="60" t="n">
        <v>46131</v>
      </c>
      <c r="D509" s="87" t="inlineStr">
        <is>
          <t>RICARDO MAROTTI</t>
        </is>
      </c>
      <c r="E509" s="87" t="inlineStr">
        <is>
          <t>Suhai</t>
        </is>
      </c>
      <c r="F509" s="87" t="inlineStr">
        <is>
          <t>Jacqueline</t>
        </is>
      </c>
      <c r="G509" s="87" t="inlineStr">
        <is>
          <t>F</t>
        </is>
      </c>
      <c r="H509" s="78" t="n">
        <v>5513982259699</v>
      </c>
      <c r="I509" s="87" t="inlineStr">
        <is>
          <t>Novo</t>
        </is>
      </c>
      <c r="J509" s="87" t="inlineStr">
        <is>
          <t>Assinado</t>
        </is>
      </c>
      <c r="K509" s="60" t="n">
        <v>46134</v>
      </c>
      <c r="L509" s="87">
        <f>TEXT(A509,"mmmm")</f>
        <v/>
      </c>
    </row>
    <row r="510">
      <c r="A510" s="60" t="n">
        <v>46125</v>
      </c>
      <c r="B510" s="60" t="n">
        <v>46128</v>
      </c>
      <c r="C510" s="60" t="n">
        <v>46131</v>
      </c>
      <c r="D510" s="87" t="inlineStr">
        <is>
          <t>LEONARDO FONTES DA SILVA</t>
        </is>
      </c>
      <c r="E510" s="87" t="inlineStr">
        <is>
          <t>Azul</t>
        </is>
      </c>
      <c r="F510" s="87" t="inlineStr">
        <is>
          <t>John</t>
        </is>
      </c>
      <c r="G510" s="87" t="inlineStr">
        <is>
          <t>M</t>
        </is>
      </c>
      <c r="H510" s="78" t="n">
        <v>5511975688300</v>
      </c>
      <c r="I510" s="87" t="inlineStr">
        <is>
          <t>Novo</t>
        </is>
      </c>
      <c r="J510" s="87" t="inlineStr">
        <is>
          <t>Assinado</t>
        </is>
      </c>
      <c r="K510" s="60" t="n">
        <v>46134</v>
      </c>
      <c r="L510" s="87">
        <f>TEXT(A510,"mmmm")</f>
        <v/>
      </c>
    </row>
    <row r="511">
      <c r="A511" s="60" t="n">
        <v>46125</v>
      </c>
      <c r="B511" s="60" t="n">
        <v>46128</v>
      </c>
      <c r="C511" s="60" t="n">
        <v>46131</v>
      </c>
      <c r="D511" s="87" t="inlineStr">
        <is>
          <t>MARCAL FERNANDES DA SILVEIRA</t>
        </is>
      </c>
      <c r="E511" s="87" t="inlineStr">
        <is>
          <t>Tokio</t>
        </is>
      </c>
      <c r="F511" s="87" t="inlineStr">
        <is>
          <t>Myrelle</t>
        </is>
      </c>
      <c r="G511" s="87" t="inlineStr">
        <is>
          <t>F</t>
        </is>
      </c>
      <c r="H511" s="78" t="n">
        <v>5511975144791</v>
      </c>
      <c r="I511" s="87" t="inlineStr">
        <is>
          <t>Novo</t>
        </is>
      </c>
      <c r="J511" s="87" t="inlineStr">
        <is>
          <t>Assinado</t>
        </is>
      </c>
      <c r="K511" s="60" t="n">
        <v>46134</v>
      </c>
      <c r="L511" s="87">
        <f>TEXT(A511,"mmmm")</f>
        <v/>
      </c>
    </row>
    <row r="512">
      <c r="A512" s="60" t="n">
        <v>46126</v>
      </c>
      <c r="B512" s="60" t="n">
        <v>46129</v>
      </c>
      <c r="C512" s="60" t="n">
        <v>46132</v>
      </c>
      <c r="D512" s="87" t="inlineStr">
        <is>
          <t>LUCAS COSTA SANTOS TEIXEIRA</t>
        </is>
      </c>
      <c r="E512" s="87" t="inlineStr">
        <is>
          <t>Suhai</t>
        </is>
      </c>
      <c r="F512" s="87" t="inlineStr">
        <is>
          <t>John</t>
        </is>
      </c>
      <c r="G512" s="87" t="inlineStr">
        <is>
          <t>M</t>
        </is>
      </c>
      <c r="H512" s="78" t="n">
        <v>5513982022457</v>
      </c>
      <c r="I512" s="87" t="inlineStr">
        <is>
          <t>Novo</t>
        </is>
      </c>
      <c r="J512" s="87" t="inlineStr">
        <is>
          <t>Na planilha</t>
        </is>
      </c>
      <c r="K512" s="60" t="n">
        <v>46135</v>
      </c>
      <c r="L512" s="87">
        <f>TEXT(A512,"mmmm")</f>
        <v/>
      </c>
    </row>
    <row r="513">
      <c r="A513" s="60" t="n">
        <v>46126</v>
      </c>
      <c r="B513" s="60" t="n">
        <v>46129</v>
      </c>
      <c r="C513" s="60" t="n">
        <v>46132</v>
      </c>
      <c r="D513" s="87" t="inlineStr">
        <is>
          <t>JOSE GUSTAVO FERREIRA DE ANDRADE</t>
        </is>
      </c>
      <c r="E513" s="87" t="inlineStr">
        <is>
          <t>Azul</t>
        </is>
      </c>
      <c r="F513" s="87" t="inlineStr">
        <is>
          <t>Enzo</t>
        </is>
      </c>
      <c r="G513" s="87" t="inlineStr">
        <is>
          <t>M</t>
        </is>
      </c>
      <c r="H513" s="78" t="n">
        <v>5511994311500</v>
      </c>
      <c r="I513" s="87" t="inlineStr">
        <is>
          <t>Novo</t>
        </is>
      </c>
      <c r="J513" s="87" t="inlineStr">
        <is>
          <t>Assinado</t>
        </is>
      </c>
      <c r="K513" s="60" t="n">
        <v>46135</v>
      </c>
      <c r="L513" s="87">
        <f>TEXT(A513,"mmmm")</f>
        <v/>
      </c>
    </row>
    <row r="514">
      <c r="A514" s="60" t="n">
        <v>46126</v>
      </c>
      <c r="B514" s="60" t="n">
        <v>46129</v>
      </c>
      <c r="C514" s="60" t="n">
        <v>46132</v>
      </c>
      <c r="D514" s="87" t="inlineStr">
        <is>
          <t>TONI ANDERSON DE CAMPOS</t>
        </is>
      </c>
      <c r="E514" s="87" t="inlineStr">
        <is>
          <t>Suhai</t>
        </is>
      </c>
      <c r="F514" s="87" t="inlineStr">
        <is>
          <t>Enzo</t>
        </is>
      </c>
      <c r="G514" s="87" t="inlineStr">
        <is>
          <t>M</t>
        </is>
      </c>
      <c r="H514" s="78" t="n">
        <v>5512991900639</v>
      </c>
      <c r="I514" s="87" t="inlineStr">
        <is>
          <t>Novo</t>
        </is>
      </c>
      <c r="J514" s="87" t="inlineStr">
        <is>
          <t>Assinado</t>
        </is>
      </c>
      <c r="K514" s="60" t="n">
        <v>46135</v>
      </c>
      <c r="L514" s="87">
        <f>TEXT(A514,"mmmm")</f>
        <v/>
      </c>
    </row>
    <row r="515">
      <c r="A515" s="60" t="n">
        <v>46126</v>
      </c>
      <c r="B515" s="60" t="n">
        <v>46129</v>
      </c>
      <c r="C515" s="60" t="n">
        <v>46132</v>
      </c>
      <c r="D515" s="87" t="inlineStr">
        <is>
          <t>ROSIEL LINO DO NASCIMENTO</t>
        </is>
      </c>
      <c r="E515" s="87" t="inlineStr">
        <is>
          <t>Suhai</t>
        </is>
      </c>
      <c r="F515" s="87" t="inlineStr">
        <is>
          <t>Enzo</t>
        </is>
      </c>
      <c r="G515" s="87" t="inlineStr">
        <is>
          <t>M</t>
        </is>
      </c>
      <c r="H515" s="78" t="n">
        <v>5511947428426</v>
      </c>
      <c r="I515" s="87" t="inlineStr">
        <is>
          <t>Novo</t>
        </is>
      </c>
      <c r="J515" s="87" t="inlineStr">
        <is>
          <t>Assinado(manual)</t>
        </is>
      </c>
      <c r="K515" s="60" t="n">
        <v>46135</v>
      </c>
      <c r="L515" s="87">
        <f>TEXT(A515,"mmmm")</f>
        <v/>
      </c>
    </row>
    <row r="516">
      <c r="A516" s="60" t="n">
        <v>46126</v>
      </c>
      <c r="B516" s="60" t="n">
        <v>46129</v>
      </c>
      <c r="C516" s="60" t="n">
        <v>46132</v>
      </c>
      <c r="D516" s="87" t="inlineStr">
        <is>
          <t>BRUNA DE SOUZA DA SILVA</t>
        </is>
      </c>
      <c r="E516" s="87" t="inlineStr">
        <is>
          <t>Porto</t>
        </is>
      </c>
      <c r="F516" s="87" t="inlineStr">
        <is>
          <t>John</t>
        </is>
      </c>
      <c r="G516" s="87" t="inlineStr">
        <is>
          <t>M</t>
        </is>
      </c>
      <c r="H516" s="78" t="n">
        <v>5511962512514</v>
      </c>
      <c r="I516" s="87" t="inlineStr">
        <is>
          <t>Novo</t>
        </is>
      </c>
      <c r="J516" s="87" t="inlineStr">
        <is>
          <t>Assinado</t>
        </is>
      </c>
      <c r="K516" s="60" t="n">
        <v>46135</v>
      </c>
      <c r="L516" s="87">
        <f>TEXT(A516,"mmmm")</f>
        <v/>
      </c>
    </row>
    <row r="517">
      <c r="A517" s="60" t="n">
        <v>46126</v>
      </c>
      <c r="B517" s="60" t="n">
        <v>46129</v>
      </c>
      <c r="C517" s="60" t="n">
        <v>46132</v>
      </c>
      <c r="D517" s="87" t="inlineStr">
        <is>
          <t>RONALDO ANGIOLLETTI AFFONSO</t>
        </is>
      </c>
      <c r="E517" s="87" t="inlineStr">
        <is>
          <t>Porto</t>
        </is>
      </c>
      <c r="F517" s="87" t="inlineStr">
        <is>
          <t>John</t>
        </is>
      </c>
      <c r="G517" s="87" t="inlineStr">
        <is>
          <t>M</t>
        </is>
      </c>
      <c r="H517" s="78" t="n">
        <v>5511962512514</v>
      </c>
      <c r="I517" s="87" t="inlineStr">
        <is>
          <t>Novo</t>
        </is>
      </c>
      <c r="J517" s="87" t="inlineStr">
        <is>
          <t>Na planilha</t>
        </is>
      </c>
      <c r="K517" s="60" t="n">
        <v>46135</v>
      </c>
      <c r="L517" s="87">
        <f>TEXT(A517,"mmmm")</f>
        <v/>
      </c>
    </row>
    <row r="518">
      <c r="A518" s="60" t="n">
        <v>46126</v>
      </c>
      <c r="B518" s="60" t="n">
        <v>46129</v>
      </c>
      <c r="C518" s="60" t="n">
        <v>46132</v>
      </c>
      <c r="D518" s="87" t="inlineStr">
        <is>
          <t>CELSO APARECIDO PINTO</t>
        </is>
      </c>
      <c r="E518" s="87" t="inlineStr">
        <is>
          <t>Azul</t>
        </is>
      </c>
      <c r="F518" s="87" t="inlineStr">
        <is>
          <t>Jacqueline</t>
        </is>
      </c>
      <c r="G518" s="87" t="inlineStr">
        <is>
          <t>F</t>
        </is>
      </c>
      <c r="H518" s="78" t="n">
        <v>5511964626921</v>
      </c>
      <c r="I518" s="87" t="inlineStr">
        <is>
          <t>Novo</t>
        </is>
      </c>
      <c r="J518" s="87" t="inlineStr">
        <is>
          <t>Assinado</t>
        </is>
      </c>
      <c r="K518" s="60" t="n">
        <v>46135</v>
      </c>
      <c r="L518" s="87">
        <f>TEXT(A518,"mmmm")</f>
        <v/>
      </c>
    </row>
    <row r="519">
      <c r="A519" s="60" t="n">
        <v>46126</v>
      </c>
      <c r="B519" s="60" t="n">
        <v>46129</v>
      </c>
      <c r="C519" s="60" t="n">
        <v>46132</v>
      </c>
      <c r="D519" s="87" t="inlineStr">
        <is>
          <t>KALINE GABRIELI LOPES CORDEIRO</t>
        </is>
      </c>
      <c r="E519" s="87" t="inlineStr">
        <is>
          <t>Azul</t>
        </is>
      </c>
      <c r="F519" s="87" t="inlineStr">
        <is>
          <t>Jacqueline</t>
        </is>
      </c>
      <c r="G519" s="87" t="inlineStr">
        <is>
          <t>F</t>
        </is>
      </c>
      <c r="H519" s="78" t="n">
        <v>5514991130767</v>
      </c>
      <c r="I519" s="87" t="inlineStr">
        <is>
          <t>Novo</t>
        </is>
      </c>
      <c r="J519" s="87" t="inlineStr">
        <is>
          <t>Na planilha</t>
        </is>
      </c>
      <c r="K519" s="60" t="n">
        <v>46135</v>
      </c>
      <c r="L519" s="87">
        <f>TEXT(A519,"mmmm")</f>
        <v/>
      </c>
    </row>
    <row r="520">
      <c r="A520" s="60" t="n">
        <v>46126</v>
      </c>
      <c r="B520" s="60" t="n">
        <v>46129</v>
      </c>
      <c r="C520" s="60" t="n">
        <v>46132</v>
      </c>
      <c r="D520" s="87" t="inlineStr">
        <is>
          <t>LUDMILA MOTA VIEIRA DAMASCENO</t>
        </is>
      </c>
      <c r="E520" s="87" t="inlineStr">
        <is>
          <t>Azul</t>
        </is>
      </c>
      <c r="F520" s="87" t="inlineStr">
        <is>
          <t>Jacqueline</t>
        </is>
      </c>
      <c r="G520" s="87" t="inlineStr">
        <is>
          <t>F</t>
        </is>
      </c>
      <c r="H520" s="78" t="n">
        <v>5531986067678</v>
      </c>
      <c r="I520" s="87" t="inlineStr">
        <is>
          <t>Novo</t>
        </is>
      </c>
      <c r="J520" s="87" t="inlineStr">
        <is>
          <t>Assinado</t>
        </is>
      </c>
      <c r="K520" s="60" t="n">
        <v>46135</v>
      </c>
      <c r="L520" s="87">
        <f>TEXT(A520,"mmmm")</f>
        <v/>
      </c>
    </row>
    <row r="521">
      <c r="A521" s="60" t="n">
        <v>46127</v>
      </c>
      <c r="B521" s="60" t="n">
        <v>46130</v>
      </c>
      <c r="C521" s="60" t="n">
        <v>46133</v>
      </c>
      <c r="D521" s="87" t="inlineStr">
        <is>
          <t>FRANCISCO VANDI BANDEIRA ALVES</t>
        </is>
      </c>
      <c r="E521" s="87" t="inlineStr">
        <is>
          <t>Tokio</t>
        </is>
      </c>
      <c r="F521" s="87" t="inlineStr">
        <is>
          <t>Leticia</t>
        </is>
      </c>
      <c r="G521" s="87" t="inlineStr">
        <is>
          <t>F</t>
        </is>
      </c>
      <c r="H521" s="78" t="n">
        <v>5519983334497</v>
      </c>
      <c r="I521" s="87" t="inlineStr">
        <is>
          <t>Novo</t>
        </is>
      </c>
      <c r="J521" s="87" t="inlineStr">
        <is>
          <t>Assinado</t>
        </is>
      </c>
      <c r="K521" s="60" t="n">
        <v>46136</v>
      </c>
      <c r="L521" s="87">
        <f>TEXT(A521,"mmmm")</f>
        <v/>
      </c>
    </row>
    <row r="522">
      <c r="A522" s="60" t="n">
        <v>46127</v>
      </c>
      <c r="B522" s="60" t="n">
        <v>46130</v>
      </c>
      <c r="C522" s="60" t="n">
        <v>46133</v>
      </c>
      <c r="D522" s="87" t="inlineStr">
        <is>
          <t>JOSE ROBERTO POSTIGO</t>
        </is>
      </c>
      <c r="E522" s="87" t="inlineStr">
        <is>
          <t>Azul</t>
        </is>
      </c>
      <c r="F522" s="87" t="inlineStr">
        <is>
          <t>Leticia</t>
        </is>
      </c>
      <c r="G522" s="87" t="inlineStr">
        <is>
          <t>F</t>
        </is>
      </c>
      <c r="H522" s="78" t="n">
        <v>5519994049973</v>
      </c>
      <c r="I522" s="87" t="inlineStr">
        <is>
          <t>Novo</t>
        </is>
      </c>
      <c r="J522" s="87" t="inlineStr">
        <is>
          <t>Assinado</t>
        </is>
      </c>
      <c r="K522" s="60" t="n">
        <v>46136</v>
      </c>
      <c r="L522" s="87">
        <f>TEXT(A522,"mmmm")</f>
        <v/>
      </c>
    </row>
    <row r="523">
      <c r="A523" s="60" t="n">
        <v>46127</v>
      </c>
      <c r="B523" s="60" t="n">
        <v>46130</v>
      </c>
      <c r="C523" s="60" t="n">
        <v>46133</v>
      </c>
      <c r="D523" s="87" t="inlineStr">
        <is>
          <t>CRISTIANO ARAUJO DE NOVAES</t>
        </is>
      </c>
      <c r="E523" s="87" t="inlineStr">
        <is>
          <t>Azul</t>
        </is>
      </c>
      <c r="F523" s="87" t="inlineStr">
        <is>
          <t>Leticia</t>
        </is>
      </c>
      <c r="G523" s="87" t="inlineStr">
        <is>
          <t>F</t>
        </is>
      </c>
      <c r="H523" s="78" t="n">
        <v>5511911034450</v>
      </c>
      <c r="I523" s="87" t="inlineStr">
        <is>
          <t>Novo</t>
        </is>
      </c>
      <c r="J523" s="87" t="inlineStr">
        <is>
          <t>Assinado</t>
        </is>
      </c>
      <c r="K523" s="60" t="n">
        <v>46136</v>
      </c>
      <c r="L523" s="87">
        <f>TEXT(A523,"mmmm")</f>
        <v/>
      </c>
    </row>
    <row r="524">
      <c r="A524" s="60" t="n">
        <v>46127</v>
      </c>
      <c r="B524" s="60" t="n">
        <v>46130</v>
      </c>
      <c r="C524" s="60" t="n">
        <v>46133</v>
      </c>
      <c r="D524" s="87" t="inlineStr">
        <is>
          <t>ROSANGELA DAS DORES QUIRINO</t>
        </is>
      </c>
      <c r="E524" s="87" t="inlineStr">
        <is>
          <t>Porto</t>
        </is>
      </c>
      <c r="F524" s="87" t="inlineStr">
        <is>
          <t>John</t>
        </is>
      </c>
      <c r="G524" s="87" t="inlineStr">
        <is>
          <t>M</t>
        </is>
      </c>
      <c r="H524" s="78" t="n">
        <v>5511957748579</v>
      </c>
      <c r="I524" s="87" t="inlineStr">
        <is>
          <t>Renovação</t>
        </is>
      </c>
      <c r="J524" s="87" t="inlineStr">
        <is>
          <t>Assinado</t>
        </is>
      </c>
      <c r="K524" s="60" t="n">
        <v>46136</v>
      </c>
      <c r="L524" s="87">
        <f>TEXT(A524,"mmmm")</f>
        <v/>
      </c>
    </row>
    <row r="525">
      <c r="A525" s="60" t="n">
        <v>46127</v>
      </c>
      <c r="B525" s="60" t="n">
        <v>46130</v>
      </c>
      <c r="C525" s="60" t="n">
        <v>46133</v>
      </c>
      <c r="D525" s="87" t="inlineStr">
        <is>
          <t>CRISTINA DOS SANTOS REIS</t>
        </is>
      </c>
      <c r="E525" s="87" t="inlineStr">
        <is>
          <t>Tokio</t>
        </is>
      </c>
      <c r="F525" s="87" t="inlineStr">
        <is>
          <t>John</t>
        </is>
      </c>
      <c r="G525" s="87" t="inlineStr">
        <is>
          <t>M</t>
        </is>
      </c>
      <c r="H525" s="78" t="n">
        <v>5511959524674</v>
      </c>
      <c r="I525" s="87" t="inlineStr">
        <is>
          <t>Renovação</t>
        </is>
      </c>
      <c r="J525" s="87" t="inlineStr">
        <is>
          <t>Na planilha</t>
        </is>
      </c>
      <c r="K525" s="60" t="n">
        <v>46136</v>
      </c>
      <c r="L525" s="87">
        <f>TEXT(A525,"mmmm")</f>
        <v/>
      </c>
    </row>
    <row r="526">
      <c r="A526" s="60" t="n">
        <v>46127</v>
      </c>
      <c r="B526" s="60" t="n">
        <v>46130</v>
      </c>
      <c r="C526" s="60" t="n">
        <v>46133</v>
      </c>
      <c r="D526" s="87" t="inlineStr">
        <is>
          <t>JOSIVAN DE SOUSA CRUZ</t>
        </is>
      </c>
      <c r="E526" s="87" t="inlineStr">
        <is>
          <t>Suhai</t>
        </is>
      </c>
      <c r="F526" s="87" t="inlineStr">
        <is>
          <t>Myrelle</t>
        </is>
      </c>
      <c r="G526" s="87" t="inlineStr">
        <is>
          <t>F</t>
        </is>
      </c>
      <c r="H526" s="78" t="n">
        <v>5577998487892</v>
      </c>
      <c r="I526" s="87" t="inlineStr">
        <is>
          <t>Novo</t>
        </is>
      </c>
      <c r="J526" s="87" t="inlineStr">
        <is>
          <t>Assinado</t>
        </is>
      </c>
      <c r="K526" s="60" t="n">
        <v>46136</v>
      </c>
      <c r="L526" s="87">
        <f>TEXT(A526,"mmmm")</f>
        <v/>
      </c>
    </row>
    <row r="527">
      <c r="A527" s="60" t="n">
        <v>46127</v>
      </c>
      <c r="B527" s="60" t="n">
        <v>46130</v>
      </c>
      <c r="C527" s="60" t="n">
        <v>46133</v>
      </c>
      <c r="D527" s="87" t="inlineStr">
        <is>
          <t>ANA PAULA NAGATA</t>
        </is>
      </c>
      <c r="E527" s="87" t="inlineStr">
        <is>
          <t>Tokio</t>
        </is>
      </c>
      <c r="F527" s="87" t="inlineStr">
        <is>
          <t>Enzo</t>
        </is>
      </c>
      <c r="G527" s="87" t="inlineStr">
        <is>
          <t>M</t>
        </is>
      </c>
      <c r="H527" s="78" t="n">
        <v>5515997555416</v>
      </c>
      <c r="I527" s="87" t="inlineStr">
        <is>
          <t>Novo</t>
        </is>
      </c>
      <c r="J527" s="87" t="inlineStr">
        <is>
          <t>Assinado</t>
        </is>
      </c>
      <c r="K527" s="60" t="n">
        <v>46136</v>
      </c>
      <c r="L527" s="87">
        <f>TEXT(A527,"mmmm")</f>
        <v/>
      </c>
    </row>
    <row r="528">
      <c r="A528" s="60" t="n">
        <v>46127</v>
      </c>
      <c r="B528" s="60" t="n">
        <v>46130</v>
      </c>
      <c r="C528" s="60" t="n">
        <v>46133</v>
      </c>
      <c r="D528" s="87" t="inlineStr">
        <is>
          <t>ANDRE LUIZ PEREIRA</t>
        </is>
      </c>
      <c r="E528" s="87" t="inlineStr">
        <is>
          <t>Azul</t>
        </is>
      </c>
      <c r="F528" s="87" t="inlineStr">
        <is>
          <t>Jacqueline</t>
        </is>
      </c>
      <c r="G528" s="87" t="inlineStr">
        <is>
          <t>F</t>
        </is>
      </c>
      <c r="H528" s="78" t="n">
        <v>5511997677058</v>
      </c>
      <c r="I528" s="87" t="inlineStr">
        <is>
          <t>Novo</t>
        </is>
      </c>
      <c r="J528" s="87" t="inlineStr">
        <is>
          <t>Assinado</t>
        </is>
      </c>
      <c r="K528" s="60" t="n">
        <v>46136</v>
      </c>
      <c r="L528" s="87">
        <f>TEXT(A528,"mmmm")</f>
        <v/>
      </c>
    </row>
    <row r="529">
      <c r="A529" s="60" t="n">
        <v>46127</v>
      </c>
      <c r="B529" s="60" t="n">
        <v>46130</v>
      </c>
      <c r="C529" s="60" t="n">
        <v>46133</v>
      </c>
      <c r="D529" s="87" t="inlineStr">
        <is>
          <t>CLAIRE RIBEIRO DE ARAUJO GALDINO</t>
        </is>
      </c>
      <c r="E529" s="87" t="inlineStr">
        <is>
          <t>Tokio</t>
        </is>
      </c>
      <c r="F529" s="87" t="inlineStr">
        <is>
          <t>John</t>
        </is>
      </c>
      <c r="G529" s="87" t="inlineStr">
        <is>
          <t>M</t>
        </is>
      </c>
      <c r="H529" s="78" t="n">
        <v>5511964278174</v>
      </c>
      <c r="I529" s="87" t="inlineStr">
        <is>
          <t>Novo</t>
        </is>
      </c>
      <c r="J529" s="87" t="inlineStr">
        <is>
          <t>Na planilha</t>
        </is>
      </c>
      <c r="K529" s="60" t="n">
        <v>46136</v>
      </c>
      <c r="L529" s="87">
        <f>TEXT(A529,"mmmm")</f>
        <v/>
      </c>
    </row>
    <row r="530">
      <c r="A530" s="60" t="n">
        <v>46127</v>
      </c>
      <c r="B530" s="60" t="n">
        <v>46130</v>
      </c>
      <c r="C530" s="60" t="n">
        <v>46133</v>
      </c>
      <c r="D530" s="87" t="inlineStr">
        <is>
          <t>EVANDRO RODRIGUES LIMA DE JESUS</t>
        </is>
      </c>
      <c r="E530" s="87" t="inlineStr">
        <is>
          <t>Azul</t>
        </is>
      </c>
      <c r="F530" s="87" t="inlineStr">
        <is>
          <t>John</t>
        </is>
      </c>
      <c r="G530" s="87" t="inlineStr">
        <is>
          <t>M</t>
        </is>
      </c>
      <c r="H530" s="78" t="n">
        <v>5511948390903</v>
      </c>
      <c r="I530" s="87" t="inlineStr">
        <is>
          <t>Renovação</t>
        </is>
      </c>
      <c r="J530" s="87" t="inlineStr">
        <is>
          <t>Assinado</t>
        </is>
      </c>
      <c r="K530" s="60" t="n">
        <v>46136</v>
      </c>
      <c r="L530" s="87">
        <f>TEXT(A530,"mmmm")</f>
        <v/>
      </c>
    </row>
    <row r="531">
      <c r="A531" s="60" t="n">
        <v>46127</v>
      </c>
      <c r="B531" s="60" t="n">
        <v>46130</v>
      </c>
      <c r="C531" s="60" t="n">
        <v>46133</v>
      </c>
      <c r="D531" s="87" t="inlineStr">
        <is>
          <t>ARIVAN JOSE DA COSTA</t>
        </is>
      </c>
      <c r="E531" s="87" t="inlineStr">
        <is>
          <t>Tokio</t>
        </is>
      </c>
      <c r="F531" s="87" t="inlineStr">
        <is>
          <t>Myrelle</t>
        </is>
      </c>
      <c r="G531" s="87" t="inlineStr">
        <is>
          <t>F</t>
        </is>
      </c>
      <c r="H531" s="78" t="n">
        <v>5511966936911</v>
      </c>
      <c r="I531" s="87" t="inlineStr">
        <is>
          <t>Novo</t>
        </is>
      </c>
      <c r="J531" s="87" t="inlineStr">
        <is>
          <t>Assinado(manual)</t>
        </is>
      </c>
      <c r="K531" s="60" t="n">
        <v>46136</v>
      </c>
      <c r="L531" s="87">
        <f>TEXT(A531,"mmmm")</f>
        <v/>
      </c>
    </row>
    <row r="532">
      <c r="A532" s="60" t="n">
        <v>46128</v>
      </c>
      <c r="B532" s="60" t="n">
        <v>46131</v>
      </c>
      <c r="C532" s="60" t="n">
        <v>46134</v>
      </c>
      <c r="D532" s="87" t="inlineStr">
        <is>
          <t>IGOR BAENA DE OLIVEIRA DA SILVA</t>
        </is>
      </c>
      <c r="E532" s="87" t="inlineStr">
        <is>
          <t>Azul</t>
        </is>
      </c>
      <c r="F532" s="87" t="inlineStr">
        <is>
          <t>Jacqueline</t>
        </is>
      </c>
      <c r="G532" s="87" t="inlineStr">
        <is>
          <t>F</t>
        </is>
      </c>
      <c r="H532" s="78" t="n">
        <v>5515996747789</v>
      </c>
      <c r="I532" s="87" t="inlineStr">
        <is>
          <t>Novo</t>
        </is>
      </c>
      <c r="J532" s="87" t="inlineStr">
        <is>
          <t>Assinado</t>
        </is>
      </c>
      <c r="K532" s="60" t="n">
        <v>46137</v>
      </c>
      <c r="L532" s="87">
        <f>TEXT(A532,"mmmm")</f>
        <v/>
      </c>
    </row>
    <row r="533">
      <c r="A533" s="60" t="n">
        <v>46128</v>
      </c>
      <c r="B533" s="60" t="n">
        <v>46131</v>
      </c>
      <c r="C533" s="60" t="n">
        <v>46134</v>
      </c>
      <c r="D533" s="87" t="inlineStr">
        <is>
          <t>DORIVAL DOS SANTOS DEVEZA</t>
        </is>
      </c>
      <c r="E533" s="87" t="inlineStr">
        <is>
          <t>HDI</t>
        </is>
      </c>
      <c r="F533" s="87" t="inlineStr">
        <is>
          <t>Leticia</t>
        </is>
      </c>
      <c r="G533" s="87" t="inlineStr">
        <is>
          <t>F</t>
        </is>
      </c>
      <c r="H533" s="78" t="n">
        <v>5513982266210</v>
      </c>
      <c r="I533" s="87" t="inlineStr">
        <is>
          <t>Novo</t>
        </is>
      </c>
      <c r="J533" s="87" t="inlineStr">
        <is>
          <t>Cancelado</t>
        </is>
      </c>
      <c r="K533" s="60" t="n">
        <v>46137</v>
      </c>
      <c r="L533" s="87">
        <f>TEXT(A533,"mmmm")</f>
        <v/>
      </c>
    </row>
    <row r="534">
      <c r="A534" s="60" t="n">
        <v>46128</v>
      </c>
      <c r="B534" s="60" t="n">
        <v>46131</v>
      </c>
      <c r="C534" s="60" t="n">
        <v>46134</v>
      </c>
      <c r="D534" s="87" t="inlineStr">
        <is>
          <t>JAIR GERALDO DOS SANTOS</t>
        </is>
      </c>
      <c r="E534" s="87" t="inlineStr">
        <is>
          <t>Allianz</t>
        </is>
      </c>
      <c r="F534" s="87" t="inlineStr">
        <is>
          <t>Leticia</t>
        </is>
      </c>
      <c r="G534" s="87" t="inlineStr">
        <is>
          <t>F</t>
        </is>
      </c>
      <c r="H534" s="78" t="n">
        <v>5511944857460</v>
      </c>
      <c r="I534" s="87" t="inlineStr">
        <is>
          <t>Novo</t>
        </is>
      </c>
      <c r="J534" s="87" t="inlineStr">
        <is>
          <t>Assinado</t>
        </is>
      </c>
      <c r="K534" s="60" t="n">
        <v>46137</v>
      </c>
      <c r="L534" s="87">
        <f>TEXT(A534,"mmmm")</f>
        <v/>
      </c>
    </row>
    <row r="535">
      <c r="A535" s="60" t="n">
        <v>46128</v>
      </c>
      <c r="B535" s="60" t="n">
        <v>46131</v>
      </c>
      <c r="C535" s="60" t="n">
        <v>46134</v>
      </c>
      <c r="D535" s="87" t="inlineStr">
        <is>
          <t>JOSE MARIA DE SOUZA</t>
        </is>
      </c>
      <c r="E535" s="87" t="inlineStr">
        <is>
          <t>Tokio</t>
        </is>
      </c>
      <c r="F535" s="87" t="inlineStr">
        <is>
          <t>Leticia</t>
        </is>
      </c>
      <c r="G535" s="87" t="inlineStr">
        <is>
          <t>F</t>
        </is>
      </c>
      <c r="H535" s="78" t="n">
        <v>5511995753700</v>
      </c>
      <c r="I535" s="87" t="inlineStr">
        <is>
          <t>Novo</t>
        </is>
      </c>
      <c r="J535" s="87" t="inlineStr">
        <is>
          <t>Na planilha</t>
        </is>
      </c>
      <c r="K535" s="60" t="n">
        <v>46137</v>
      </c>
      <c r="L535" s="87">
        <f>TEXT(A535,"mmmm")</f>
        <v/>
      </c>
    </row>
    <row r="536">
      <c r="A536" s="60" t="n">
        <v>46128</v>
      </c>
      <c r="B536" s="60" t="n">
        <v>46131</v>
      </c>
      <c r="C536" s="60" t="n">
        <v>46134</v>
      </c>
      <c r="D536" s="87" t="inlineStr">
        <is>
          <t>ANTONIO CARLOS PEREIRA ALVES</t>
        </is>
      </c>
      <c r="E536" s="87" t="inlineStr">
        <is>
          <t>Azul</t>
        </is>
      </c>
      <c r="F536" s="87" t="inlineStr">
        <is>
          <t>John</t>
        </is>
      </c>
      <c r="G536" s="87" t="inlineStr">
        <is>
          <t>M</t>
        </is>
      </c>
      <c r="H536" s="78" t="n">
        <v>5574999321776</v>
      </c>
      <c r="I536" s="87" t="inlineStr">
        <is>
          <t>Novo</t>
        </is>
      </c>
      <c r="J536" s="87" t="inlineStr">
        <is>
          <t>Assinado</t>
        </is>
      </c>
      <c r="K536" s="60" t="n">
        <v>46137</v>
      </c>
      <c r="L536" s="87">
        <f>TEXT(A536,"mmmm")</f>
        <v/>
      </c>
    </row>
    <row r="537">
      <c r="A537" s="60" t="n">
        <v>46129</v>
      </c>
      <c r="B537" s="60" t="n">
        <v>46132</v>
      </c>
      <c r="C537" s="60" t="n">
        <v>46135</v>
      </c>
      <c r="D537" s="87" t="inlineStr">
        <is>
          <t>THIAGO DE URZEDO OCTAVIO</t>
        </is>
      </c>
      <c r="E537" s="87" t="inlineStr">
        <is>
          <t>Tokio</t>
        </is>
      </c>
      <c r="F537" s="87" t="inlineStr">
        <is>
          <t>Jéssica</t>
        </is>
      </c>
      <c r="G537" s="87" t="inlineStr">
        <is>
          <t>F</t>
        </is>
      </c>
      <c r="H537" s="78" t="n">
        <v>5511940348025</v>
      </c>
      <c r="I537" s="87" t="inlineStr">
        <is>
          <t>Novo</t>
        </is>
      </c>
      <c r="J537" s="87" t="inlineStr">
        <is>
          <t>Assinado</t>
        </is>
      </c>
      <c r="K537" s="60" t="n">
        <v>46138</v>
      </c>
      <c r="L537" s="87">
        <f>TEXT(A537,"mmmm")</f>
        <v/>
      </c>
    </row>
    <row r="538">
      <c r="A538" s="60" t="n">
        <v>46129</v>
      </c>
      <c r="B538" s="60" t="n">
        <v>46132</v>
      </c>
      <c r="C538" s="60" t="n">
        <v>46135</v>
      </c>
      <c r="D538" s="87" t="inlineStr">
        <is>
          <t>EDSON PEREIRA GOMES</t>
        </is>
      </c>
      <c r="E538" s="87" t="inlineStr">
        <is>
          <t>Suhai</t>
        </is>
      </c>
      <c r="F538" s="87" t="inlineStr">
        <is>
          <t>Isabella</t>
        </is>
      </c>
      <c r="G538" s="87" t="inlineStr">
        <is>
          <t>F</t>
        </is>
      </c>
      <c r="H538" s="78" t="n">
        <v>5564984088963</v>
      </c>
      <c r="I538" s="87" t="inlineStr">
        <is>
          <t>Novo</t>
        </is>
      </c>
      <c r="J538" s="87" t="inlineStr">
        <is>
          <t>Assinado</t>
        </is>
      </c>
      <c r="K538" s="60" t="n">
        <v>46138</v>
      </c>
      <c r="L538" s="87">
        <f>TEXT(A538,"mmmm")</f>
        <v/>
      </c>
    </row>
    <row r="539">
      <c r="A539" s="60" t="n">
        <v>46129</v>
      </c>
      <c r="B539" s="60" t="n">
        <v>46132</v>
      </c>
      <c r="C539" s="60" t="n">
        <v>46135</v>
      </c>
      <c r="D539" s="87" t="inlineStr">
        <is>
          <t>EMERSON CANDIDO DE SOUZA</t>
        </is>
      </c>
      <c r="E539" s="87" t="inlineStr">
        <is>
          <t>Tokio</t>
        </is>
      </c>
      <c r="F539" s="87" t="inlineStr">
        <is>
          <t>Isabella</t>
        </is>
      </c>
      <c r="G539" s="87" t="inlineStr">
        <is>
          <t>F</t>
        </is>
      </c>
      <c r="H539" s="78" t="n">
        <v>5518981402628</v>
      </c>
      <c r="I539" s="87" t="inlineStr">
        <is>
          <t>Novo</t>
        </is>
      </c>
      <c r="J539" s="87" t="inlineStr">
        <is>
          <t>Cancelado</t>
        </is>
      </c>
      <c r="K539" s="60" t="n">
        <v>46138</v>
      </c>
      <c r="L539" s="87">
        <f>TEXT(A539,"mmmm")</f>
        <v/>
      </c>
    </row>
    <row r="540">
      <c r="A540" s="60" t="n">
        <v>46129</v>
      </c>
      <c r="B540" s="60" t="n">
        <v>46132</v>
      </c>
      <c r="C540" s="60" t="n">
        <v>46135</v>
      </c>
      <c r="D540" s="87" t="inlineStr">
        <is>
          <t>CLEBER PETRONE</t>
        </is>
      </c>
      <c r="E540" s="87" t="inlineStr">
        <is>
          <t>Porto</t>
        </is>
      </c>
      <c r="F540" s="87" t="inlineStr">
        <is>
          <t>Jacqueline</t>
        </is>
      </c>
      <c r="G540" s="87" t="inlineStr">
        <is>
          <t>F</t>
        </is>
      </c>
      <c r="H540" s="78" t="n">
        <v>5517981431727</v>
      </c>
      <c r="I540" s="87" t="inlineStr">
        <is>
          <t>Novo</t>
        </is>
      </c>
      <c r="J540" s="87" t="inlineStr">
        <is>
          <t>Assinado</t>
        </is>
      </c>
      <c r="K540" s="60" t="n">
        <v>46138</v>
      </c>
      <c r="L540" s="87">
        <f>TEXT(A540,"mmmm")</f>
        <v/>
      </c>
    </row>
    <row r="541">
      <c r="A541" s="60" t="n">
        <v>46129</v>
      </c>
      <c r="B541" s="60" t="n">
        <v>46132</v>
      </c>
      <c r="C541" s="60" t="n">
        <v>46135</v>
      </c>
      <c r="D541" s="87" t="inlineStr">
        <is>
          <t>CLEBER PETRONE</t>
        </is>
      </c>
      <c r="E541" s="87" t="inlineStr">
        <is>
          <t>Porto</t>
        </is>
      </c>
      <c r="F541" s="87" t="inlineStr">
        <is>
          <t>Jacqueline</t>
        </is>
      </c>
      <c r="G541" s="87" t="inlineStr">
        <is>
          <t>F</t>
        </is>
      </c>
      <c r="H541" s="78" t="n">
        <v>5517981431727</v>
      </c>
      <c r="I541" s="87" t="inlineStr">
        <is>
          <t>Novo</t>
        </is>
      </c>
      <c r="J541" s="87" t="inlineStr">
        <is>
          <t>Assinado</t>
        </is>
      </c>
      <c r="K541" s="60" t="n">
        <v>46138</v>
      </c>
      <c r="L541" s="87">
        <f>TEXT(A541,"mmmm")</f>
        <v/>
      </c>
    </row>
    <row r="542">
      <c r="A542" s="60" t="n">
        <v>46129</v>
      </c>
      <c r="B542" s="60" t="n">
        <v>46132</v>
      </c>
      <c r="C542" s="60" t="n">
        <v>46135</v>
      </c>
      <c r="D542" s="87" t="inlineStr">
        <is>
          <t>CARLOS ROBERTO COSME</t>
        </is>
      </c>
      <c r="E542" s="87" t="inlineStr">
        <is>
          <t>Tokio</t>
        </is>
      </c>
      <c r="F542" s="87" t="inlineStr">
        <is>
          <t>John</t>
        </is>
      </c>
      <c r="G542" s="87" t="inlineStr">
        <is>
          <t>M</t>
        </is>
      </c>
      <c r="H542" s="78" t="n">
        <v>5511991752123</v>
      </c>
      <c r="I542" s="87" t="inlineStr">
        <is>
          <t>Novo</t>
        </is>
      </c>
      <c r="J542" s="87" t="inlineStr">
        <is>
          <t>Assinado</t>
        </is>
      </c>
      <c r="K542" s="60" t="n">
        <v>46138</v>
      </c>
      <c r="L542" s="87">
        <f>TEXT(A542,"mmmm")</f>
        <v/>
      </c>
    </row>
    <row r="543">
      <c r="A543" s="60" t="n">
        <v>46129</v>
      </c>
      <c r="B543" s="60" t="n">
        <v>46132</v>
      </c>
      <c r="C543" s="60" t="n">
        <v>46135</v>
      </c>
      <c r="D543" s="87" t="inlineStr">
        <is>
          <t>HELIO GUIMARAES REIS</t>
        </is>
      </c>
      <c r="E543" s="87" t="inlineStr">
        <is>
          <t>Azul</t>
        </is>
      </c>
      <c r="F543" s="87" t="inlineStr">
        <is>
          <t>John</t>
        </is>
      </c>
      <c r="G543" s="87" t="inlineStr">
        <is>
          <t>M</t>
        </is>
      </c>
      <c r="H543" s="78" t="n">
        <v>5511972859131</v>
      </c>
      <c r="I543" s="87" t="inlineStr">
        <is>
          <t>Novo</t>
        </is>
      </c>
      <c r="J543" s="87" t="inlineStr">
        <is>
          <t>Na planilha</t>
        </is>
      </c>
      <c r="K543" s="60" t="n">
        <v>46138</v>
      </c>
      <c r="L543" s="87">
        <f>TEXT(A543,"mmmm")</f>
        <v/>
      </c>
    </row>
    <row r="544">
      <c r="A544" s="60" t="n">
        <v>46129</v>
      </c>
      <c r="B544" s="60" t="n">
        <v>46132</v>
      </c>
      <c r="C544" s="60" t="n">
        <v>46135</v>
      </c>
      <c r="D544" s="87" t="inlineStr">
        <is>
          <t>GASPAR JOSE DA SILVA</t>
        </is>
      </c>
      <c r="E544" s="87" t="inlineStr">
        <is>
          <t>Azul</t>
        </is>
      </c>
      <c r="F544" s="87" t="inlineStr">
        <is>
          <t>John</t>
        </is>
      </c>
      <c r="G544" s="87" t="inlineStr">
        <is>
          <t>M</t>
        </is>
      </c>
      <c r="H544" s="78" t="n">
        <v>5516988747432</v>
      </c>
      <c r="I544" s="87" t="inlineStr">
        <is>
          <t>Novo</t>
        </is>
      </c>
      <c r="J544" s="87" t="inlineStr">
        <is>
          <t>Assinado</t>
        </is>
      </c>
      <c r="K544" s="60" t="n">
        <v>46138</v>
      </c>
      <c r="L544" s="87">
        <f>TEXT(A544,"mmmm")</f>
        <v/>
      </c>
    </row>
    <row r="545">
      <c r="A545" s="60" t="n">
        <v>46129</v>
      </c>
      <c r="B545" s="60" t="n">
        <v>46132</v>
      </c>
      <c r="C545" s="60" t="n">
        <v>46135</v>
      </c>
      <c r="D545" s="87" t="inlineStr">
        <is>
          <t>ANDREY ALMEIDA ARAUJO</t>
        </is>
      </c>
      <c r="E545" s="87" t="inlineStr">
        <is>
          <t>Suhai</t>
        </is>
      </c>
      <c r="F545" s="87" t="inlineStr">
        <is>
          <t>Jacqueline</t>
        </is>
      </c>
      <c r="G545" s="87" t="inlineStr">
        <is>
          <t>F</t>
        </is>
      </c>
      <c r="H545" s="78" t="n">
        <v>5599985445569</v>
      </c>
      <c r="I545" s="87" t="inlineStr">
        <is>
          <t>Novo</t>
        </is>
      </c>
      <c r="J545" s="87" t="inlineStr">
        <is>
          <t>Cancelado</t>
        </is>
      </c>
      <c r="K545" s="60" t="n">
        <v>46138</v>
      </c>
      <c r="L545" s="87">
        <f>TEXT(A545,"mmmm")</f>
        <v/>
      </c>
    </row>
    <row r="546">
      <c r="A546" s="60" t="n">
        <v>46132</v>
      </c>
      <c r="B546" s="60" t="n">
        <v>46135</v>
      </c>
      <c r="C546" s="60" t="n">
        <v>46138</v>
      </c>
      <c r="D546" s="87" t="inlineStr">
        <is>
          <t>VALDIR ANTONIO DE SOUZA FARIAS</t>
        </is>
      </c>
      <c r="E546" s="87" t="inlineStr">
        <is>
          <t>Azul</t>
        </is>
      </c>
      <c r="F546" s="87" t="inlineStr">
        <is>
          <t>John</t>
        </is>
      </c>
      <c r="G546" s="87" t="inlineStr">
        <is>
          <t>M</t>
        </is>
      </c>
      <c r="H546" s="78" t="n">
        <v>5511988282326</v>
      </c>
      <c r="I546" s="87" t="inlineStr">
        <is>
          <t>Novo</t>
        </is>
      </c>
      <c r="J546" s="87" t="inlineStr">
        <is>
          <t>Assinado</t>
        </is>
      </c>
      <c r="K546" s="60" t="n">
        <v>46141</v>
      </c>
      <c r="L546" s="87">
        <f>TEXT(A546,"mmmm")</f>
        <v/>
      </c>
    </row>
    <row r="547">
      <c r="A547" s="60" t="n">
        <v>46132</v>
      </c>
      <c r="B547" s="60" t="n">
        <v>46135</v>
      </c>
      <c r="C547" s="60" t="n">
        <v>46138</v>
      </c>
      <c r="D547" s="87" t="inlineStr">
        <is>
          <t>ANTONIO FRANCISCO DE LIMA</t>
        </is>
      </c>
      <c r="E547" s="87" t="inlineStr">
        <is>
          <t>Tokio</t>
        </is>
      </c>
      <c r="F547" s="87" t="inlineStr">
        <is>
          <t>John</t>
        </is>
      </c>
      <c r="G547" s="87" t="inlineStr">
        <is>
          <t>M</t>
        </is>
      </c>
      <c r="H547" s="78" t="n">
        <v>5515992549510</v>
      </c>
      <c r="I547" s="87" t="inlineStr">
        <is>
          <t>Renovação</t>
        </is>
      </c>
      <c r="J547" s="87" t="inlineStr">
        <is>
          <t>Assinado</t>
        </is>
      </c>
      <c r="K547" s="60" t="n">
        <v>46141</v>
      </c>
      <c r="L547" s="87">
        <f>TEXT(A547,"mmmm")</f>
        <v/>
      </c>
    </row>
    <row r="548">
      <c r="A548" s="60" t="n">
        <v>46132</v>
      </c>
      <c r="B548" s="60" t="n">
        <v>46135</v>
      </c>
      <c r="C548" s="60" t="n">
        <v>46138</v>
      </c>
      <c r="D548" s="87" t="inlineStr">
        <is>
          <t>JAQUISON ASSIS SANTOS PEREIRA</t>
        </is>
      </c>
      <c r="E548" s="87" t="inlineStr">
        <is>
          <t>Tokio</t>
        </is>
      </c>
      <c r="F548" s="87" t="inlineStr">
        <is>
          <t>Jéssica</t>
        </is>
      </c>
      <c r="G548" s="87" t="inlineStr">
        <is>
          <t>F</t>
        </is>
      </c>
      <c r="H548" s="78" t="n">
        <v>5511961321337</v>
      </c>
      <c r="I548" s="87" t="inlineStr">
        <is>
          <t>Novo</t>
        </is>
      </c>
      <c r="J548" s="87" t="inlineStr">
        <is>
          <t>Assinado</t>
        </is>
      </c>
      <c r="K548" s="60" t="n">
        <v>46141</v>
      </c>
      <c r="L548" s="87">
        <f>TEXT(A548,"mmmm")</f>
        <v/>
      </c>
    </row>
    <row r="549">
      <c r="A549" s="60" t="n">
        <v>46132</v>
      </c>
      <c r="B549" s="60" t="n">
        <v>46135</v>
      </c>
      <c r="C549" s="60" t="n">
        <v>46138</v>
      </c>
      <c r="D549" s="87" t="inlineStr">
        <is>
          <t>CLAUDIO DOS SANTOS ALMEIDA</t>
        </is>
      </c>
      <c r="E549" s="87" t="inlineStr">
        <is>
          <t>Suhai</t>
        </is>
      </c>
      <c r="F549" s="87" t="inlineStr">
        <is>
          <t>Leticia</t>
        </is>
      </c>
      <c r="G549" s="87" t="inlineStr">
        <is>
          <t>F</t>
        </is>
      </c>
      <c r="H549" s="78" t="n">
        <v>5511960457293</v>
      </c>
      <c r="I549" s="87" t="inlineStr">
        <is>
          <t>Novo</t>
        </is>
      </c>
      <c r="J549" s="87" t="inlineStr">
        <is>
          <t>Assinado</t>
        </is>
      </c>
      <c r="K549" s="60" t="n">
        <v>46141</v>
      </c>
      <c r="L549" s="87">
        <f>TEXT(A549,"mmmm")</f>
        <v/>
      </c>
    </row>
    <row r="550">
      <c r="A550" s="60" t="n">
        <v>46134</v>
      </c>
      <c r="B550" s="60" t="n">
        <v>46137</v>
      </c>
      <c r="C550" s="60" t="n">
        <v>46140</v>
      </c>
      <c r="D550" s="87" t="inlineStr">
        <is>
          <t>RENATO STAIANOV NOVELLI</t>
        </is>
      </c>
      <c r="E550" s="87" t="inlineStr">
        <is>
          <t>Porto</t>
        </is>
      </c>
      <c r="F550" s="87" t="inlineStr">
        <is>
          <t>John</t>
        </is>
      </c>
      <c r="G550" s="87" t="inlineStr">
        <is>
          <t>M</t>
        </is>
      </c>
      <c r="H550" s="78" t="n">
        <v>5511970947064</v>
      </c>
      <c r="I550" s="87" t="inlineStr">
        <is>
          <t>Renovação</t>
        </is>
      </c>
      <c r="J550" s="87" t="inlineStr">
        <is>
          <t>Assinado</t>
        </is>
      </c>
      <c r="K550" s="60" t="n">
        <v>46144</v>
      </c>
      <c r="L550" s="87">
        <f>TEXT(A550,"mmmm")</f>
        <v/>
      </c>
    </row>
    <row r="551">
      <c r="A551" s="60" t="n">
        <v>46134</v>
      </c>
      <c r="B551" s="60" t="n">
        <v>46137</v>
      </c>
      <c r="C551" s="60" t="n">
        <v>46140</v>
      </c>
      <c r="D551" s="87" t="inlineStr">
        <is>
          <t>WILTON DE JESUS PASSOS</t>
        </is>
      </c>
      <c r="E551" s="87" t="inlineStr">
        <is>
          <t>Tokio</t>
        </is>
      </c>
      <c r="F551" s="87" t="inlineStr">
        <is>
          <t>Enzo</t>
        </is>
      </c>
      <c r="G551" s="87" t="inlineStr">
        <is>
          <t>M</t>
        </is>
      </c>
      <c r="H551" s="78" t="n">
        <v>5511980337842</v>
      </c>
      <c r="I551" s="87" t="inlineStr">
        <is>
          <t>Novo</t>
        </is>
      </c>
      <c r="J551" s="87" t="inlineStr">
        <is>
          <t>Cancelado</t>
        </is>
      </c>
      <c r="K551" s="60" t="n">
        <v>46144</v>
      </c>
      <c r="L551" s="87">
        <f>TEXT(A551,"mmmm")</f>
        <v/>
      </c>
    </row>
    <row r="552">
      <c r="A552" s="60" t="n">
        <v>46134</v>
      </c>
      <c r="B552" s="60" t="n">
        <v>46137</v>
      </c>
      <c r="C552" s="60" t="n">
        <v>46140</v>
      </c>
      <c r="D552" s="87" t="inlineStr">
        <is>
          <t>VANESSA CRISTINA ROCHA DE ASSIS</t>
        </is>
      </c>
      <c r="E552" s="87" t="inlineStr">
        <is>
          <t>Tokio</t>
        </is>
      </c>
      <c r="F552" s="87" t="inlineStr">
        <is>
          <t>John</t>
        </is>
      </c>
      <c r="G552" s="87" t="inlineStr">
        <is>
          <t>M</t>
        </is>
      </c>
      <c r="H552" s="78" t="n">
        <v>5511995588292</v>
      </c>
      <c r="I552" s="87" t="inlineStr">
        <is>
          <t>Renovação</t>
        </is>
      </c>
      <c r="J552" s="87" t="inlineStr">
        <is>
          <t>Assinado</t>
        </is>
      </c>
      <c r="K552" s="60" t="n">
        <v>46144</v>
      </c>
      <c r="L552" s="87">
        <f>TEXT(A552,"mmmm")</f>
        <v/>
      </c>
    </row>
    <row r="553">
      <c r="A553" s="60" t="n">
        <v>46134</v>
      </c>
      <c r="B553" s="60" t="n">
        <v>46137</v>
      </c>
      <c r="C553" s="60" t="n">
        <v>46140</v>
      </c>
      <c r="D553" s="87" t="inlineStr">
        <is>
          <t>ARON DE FREITAS CUNHA</t>
        </is>
      </c>
      <c r="E553" s="87" t="inlineStr">
        <is>
          <t>Suhai</t>
        </is>
      </c>
      <c r="F553" s="87" t="inlineStr">
        <is>
          <t>John</t>
        </is>
      </c>
      <c r="G553" s="87" t="inlineStr">
        <is>
          <t>M</t>
        </is>
      </c>
      <c r="H553" s="78" t="n">
        <v>5511972042512</v>
      </c>
      <c r="I553" s="87" t="inlineStr">
        <is>
          <t>Renovação</t>
        </is>
      </c>
      <c r="J553" s="87" t="inlineStr">
        <is>
          <t>Cancelado</t>
        </is>
      </c>
      <c r="K553" s="60" t="n">
        <v>46144</v>
      </c>
      <c r="L553" s="87">
        <f>TEXT(A553,"mmmm")</f>
        <v/>
      </c>
    </row>
    <row r="554">
      <c r="A554" s="60" t="n">
        <v>46134</v>
      </c>
      <c r="B554" s="60" t="n">
        <v>46137</v>
      </c>
      <c r="C554" s="60" t="n">
        <v>46140</v>
      </c>
      <c r="D554" s="87" t="inlineStr">
        <is>
          <t>MARCOS ANTONIO MUNHOZ DE MOURA</t>
        </is>
      </c>
      <c r="E554" s="87" t="inlineStr">
        <is>
          <t>Porto</t>
        </is>
      </c>
      <c r="F554" s="87" t="inlineStr">
        <is>
          <t>John</t>
        </is>
      </c>
      <c r="G554" s="87" t="inlineStr">
        <is>
          <t>M</t>
        </is>
      </c>
      <c r="H554" s="78" t="n">
        <v>5511959439198</v>
      </c>
      <c r="I554" s="87" t="inlineStr">
        <is>
          <t>Novo</t>
        </is>
      </c>
      <c r="J554" s="87" t="inlineStr">
        <is>
          <t>Assinado</t>
        </is>
      </c>
      <c r="K554" s="60" t="n">
        <v>46144</v>
      </c>
      <c r="L554" s="87">
        <f>TEXT(A554,"mmmm")</f>
        <v/>
      </c>
    </row>
    <row r="555">
      <c r="A555" s="60" t="n">
        <v>46134</v>
      </c>
      <c r="B555" s="60" t="n">
        <v>46137</v>
      </c>
      <c r="C555" s="60" t="n">
        <v>46140</v>
      </c>
      <c r="D555" s="87" t="inlineStr">
        <is>
          <t>VANDERLICIA SILVA DE OLIVEIRA</t>
        </is>
      </c>
      <c r="E555" s="87" t="inlineStr">
        <is>
          <t>Azul</t>
        </is>
      </c>
      <c r="F555" s="87" t="inlineStr">
        <is>
          <t>Isabella</t>
        </is>
      </c>
      <c r="G555" s="87" t="inlineStr">
        <is>
          <t>F</t>
        </is>
      </c>
      <c r="H555" s="78" t="n">
        <v>5516997720044</v>
      </c>
      <c r="I555" s="87" t="inlineStr">
        <is>
          <t>Novo</t>
        </is>
      </c>
      <c r="J555" s="87" t="inlineStr">
        <is>
          <t>Assinado</t>
        </is>
      </c>
      <c r="K555" s="60" t="n">
        <v>46144</v>
      </c>
      <c r="L555" s="87">
        <f>TEXT(A555,"mmmm")</f>
        <v/>
      </c>
    </row>
    <row r="556">
      <c r="A556" s="60" t="n">
        <v>46134</v>
      </c>
      <c r="B556" s="60" t="n">
        <v>46137</v>
      </c>
      <c r="C556" s="60" t="n">
        <v>46140</v>
      </c>
      <c r="D556" s="87" t="inlineStr">
        <is>
          <t>MARIA NATALETE SELES</t>
        </is>
      </c>
      <c r="E556" s="87" t="inlineStr">
        <is>
          <t>Porto</t>
        </is>
      </c>
      <c r="F556" s="87" t="inlineStr">
        <is>
          <t>John</t>
        </is>
      </c>
      <c r="G556" s="87" t="inlineStr">
        <is>
          <t>M</t>
        </is>
      </c>
      <c r="H556" s="78" t="n">
        <v>5511988369175</v>
      </c>
      <c r="I556" s="87" t="inlineStr">
        <is>
          <t>Renovação</t>
        </is>
      </c>
      <c r="J556" s="87" t="inlineStr">
        <is>
          <t>Na planilha</t>
        </is>
      </c>
      <c r="K556" s="60" t="n">
        <v>46144</v>
      </c>
      <c r="L556" s="87">
        <f>TEXT(A556,"mmmm")</f>
        <v/>
      </c>
    </row>
    <row r="557">
      <c r="A557" s="60" t="n">
        <v>46134</v>
      </c>
      <c r="B557" s="60" t="n">
        <v>46137</v>
      </c>
      <c r="C557" s="60" t="n">
        <v>46140</v>
      </c>
      <c r="D557" s="87" t="inlineStr">
        <is>
          <t>MARCIA REGINA TRESTINO</t>
        </is>
      </c>
      <c r="E557" s="87" t="inlineStr">
        <is>
          <t>Azul</t>
        </is>
      </c>
      <c r="F557" s="87" t="inlineStr">
        <is>
          <t>Jéssica</t>
        </is>
      </c>
      <c r="G557" s="87" t="inlineStr">
        <is>
          <t>F</t>
        </is>
      </c>
      <c r="H557" s="78" t="n">
        <v>5517996750495</v>
      </c>
      <c r="I557" s="87" t="inlineStr">
        <is>
          <t>Novo</t>
        </is>
      </c>
      <c r="J557" s="87" t="inlineStr">
        <is>
          <t>Na planilha</t>
        </is>
      </c>
      <c r="K557" s="60" t="n">
        <v>46144</v>
      </c>
      <c r="L557" s="87">
        <f>TEXT(A557,"mmmm")</f>
        <v/>
      </c>
    </row>
    <row r="558">
      <c r="A558" s="60" t="n">
        <v>46134</v>
      </c>
      <c r="B558" s="60" t="n">
        <v>46137</v>
      </c>
      <c r="C558" s="60" t="n">
        <v>46140</v>
      </c>
      <c r="D558" s="87" t="inlineStr">
        <is>
          <t>BEATRIZ CURSINO NAKAMURA</t>
        </is>
      </c>
      <c r="E558" s="87" t="inlineStr">
        <is>
          <t>Suhai</t>
        </is>
      </c>
      <c r="F558" s="87" t="inlineStr">
        <is>
          <t>Jéssica</t>
        </is>
      </c>
      <c r="G558" s="87" t="inlineStr">
        <is>
          <t>F</t>
        </is>
      </c>
      <c r="H558" s="78" t="n">
        <v>5512997037894</v>
      </c>
      <c r="I558" s="87" t="inlineStr">
        <is>
          <t>Novo</t>
        </is>
      </c>
      <c r="J558" s="87" t="inlineStr">
        <is>
          <t>Assinado</t>
        </is>
      </c>
      <c r="K558" s="60" t="n">
        <v>46144</v>
      </c>
      <c r="L558" s="87">
        <f>TEXT(A558,"mmmm")</f>
        <v/>
      </c>
    </row>
    <row r="559">
      <c r="A559" s="60" t="n">
        <v>46134</v>
      </c>
      <c r="B559" s="60" t="n">
        <v>46137</v>
      </c>
      <c r="C559" s="60" t="n">
        <v>46140</v>
      </c>
      <c r="D559" s="87" t="inlineStr">
        <is>
          <t>FERNANDA LIMA BERCI GONCALVES</t>
        </is>
      </c>
      <c r="E559" s="87" t="inlineStr">
        <is>
          <t>Azul</t>
        </is>
      </c>
      <c r="F559" s="87" t="inlineStr">
        <is>
          <t>Jéssica</t>
        </is>
      </c>
      <c r="G559" s="87" t="inlineStr">
        <is>
          <t>F</t>
        </is>
      </c>
      <c r="H559" s="78" t="n">
        <v>5511965047281</v>
      </c>
      <c r="I559" s="87" t="inlineStr">
        <is>
          <t>Novo</t>
        </is>
      </c>
      <c r="J559" s="87" t="inlineStr">
        <is>
          <t>Assinado</t>
        </is>
      </c>
      <c r="K559" s="60" t="n">
        <v>46144</v>
      </c>
      <c r="L559" s="87">
        <f>TEXT(A559,"mmmm")</f>
        <v/>
      </c>
    </row>
    <row r="560">
      <c r="A560" s="60" t="n">
        <v>46134</v>
      </c>
      <c r="B560" s="60" t="n">
        <v>46137</v>
      </c>
      <c r="C560" s="60" t="n">
        <v>46140</v>
      </c>
      <c r="D560" s="87" t="inlineStr">
        <is>
          <t>LUIZ AIRES DE FREITAS</t>
        </is>
      </c>
      <c r="E560" s="87" t="inlineStr">
        <is>
          <t>Mapfre</t>
        </is>
      </c>
      <c r="F560" s="87" t="inlineStr">
        <is>
          <t>Leticia</t>
        </is>
      </c>
      <c r="G560" s="87" t="inlineStr">
        <is>
          <t>F</t>
        </is>
      </c>
      <c r="H560" s="78" t="n">
        <v>5511978223180</v>
      </c>
      <c r="I560" s="87" t="inlineStr">
        <is>
          <t>Novo</t>
        </is>
      </c>
      <c r="J560" s="87" t="inlineStr">
        <is>
          <t>Cancelado</t>
        </is>
      </c>
      <c r="K560" s="60" t="n">
        <v>46144</v>
      </c>
      <c r="L560" s="87">
        <f>TEXT(A560,"mmmm")</f>
        <v/>
      </c>
    </row>
    <row r="561">
      <c r="A561" s="60" t="n">
        <v>46135</v>
      </c>
      <c r="B561" s="60" t="n">
        <v>46138</v>
      </c>
      <c r="C561" s="60" t="n">
        <v>46141</v>
      </c>
      <c r="D561" s="87" t="inlineStr">
        <is>
          <t>IZABEL CRISTINA DE ANDRADE</t>
        </is>
      </c>
      <c r="E561" s="87" t="inlineStr">
        <is>
          <t>Azul</t>
        </is>
      </c>
      <c r="F561" s="87" t="inlineStr">
        <is>
          <t>Isabella</t>
        </is>
      </c>
      <c r="G561" s="87" t="inlineStr">
        <is>
          <t>F</t>
        </is>
      </c>
      <c r="H561" s="78" t="n">
        <v>5514996493025</v>
      </c>
      <c r="I561" s="87" t="inlineStr">
        <is>
          <t>Novo</t>
        </is>
      </c>
      <c r="J561" s="87" t="inlineStr">
        <is>
          <t>Assinado</t>
        </is>
      </c>
      <c r="K561" s="60" t="n">
        <v>46145</v>
      </c>
      <c r="L561" s="87">
        <f>TEXT(A561,"mmmm")</f>
        <v/>
      </c>
    </row>
    <row r="562">
      <c r="A562" s="60" t="n">
        <v>46135</v>
      </c>
      <c r="B562" s="60" t="n">
        <v>46138</v>
      </c>
      <c r="C562" s="60" t="n">
        <v>46141</v>
      </c>
      <c r="D562" s="87" t="inlineStr">
        <is>
          <t>BRUNO ARAKI DOS SANTOS</t>
        </is>
      </c>
      <c r="E562" s="87" t="inlineStr">
        <is>
          <t>Suhai</t>
        </is>
      </c>
      <c r="F562" s="87" t="inlineStr">
        <is>
          <t>Isabella</t>
        </is>
      </c>
      <c r="G562" s="87" t="inlineStr">
        <is>
          <t>F</t>
        </is>
      </c>
      <c r="H562" s="78" t="n">
        <v>5511953985800</v>
      </c>
      <c r="I562" s="87" t="inlineStr">
        <is>
          <t>Novo</t>
        </is>
      </c>
      <c r="J562" s="87" t="inlineStr">
        <is>
          <t>Na planilha</t>
        </is>
      </c>
      <c r="K562" s="60" t="n">
        <v>46145</v>
      </c>
      <c r="L562" s="87">
        <f>TEXT(A562,"mmmm")</f>
        <v/>
      </c>
    </row>
    <row r="563">
      <c r="A563" s="60" t="n">
        <v>46135</v>
      </c>
      <c r="B563" s="60" t="n">
        <v>46138</v>
      </c>
      <c r="C563" s="60" t="n">
        <v>46141</v>
      </c>
      <c r="D563" s="87" t="inlineStr">
        <is>
          <t>ROGERIO LIMA DO NASCIMENTO</t>
        </is>
      </c>
      <c r="E563" s="87" t="inlineStr">
        <is>
          <t>Itaú</t>
        </is>
      </c>
      <c r="F563" s="87" t="inlineStr">
        <is>
          <t>Isabella</t>
        </is>
      </c>
      <c r="G563" s="87" t="inlineStr">
        <is>
          <t>F</t>
        </is>
      </c>
      <c r="H563" s="78" t="n">
        <v>5511987524363</v>
      </c>
      <c r="I563" s="87" t="inlineStr">
        <is>
          <t>Novo</t>
        </is>
      </c>
      <c r="J563" s="87" t="inlineStr">
        <is>
          <t>Assinado</t>
        </is>
      </c>
      <c r="K563" s="60" t="n">
        <v>46145</v>
      </c>
      <c r="L563" s="87">
        <f>TEXT(A563,"mmmm")</f>
        <v/>
      </c>
    </row>
    <row r="564">
      <c r="A564" s="60" t="n">
        <v>46135</v>
      </c>
      <c r="B564" s="60" t="n">
        <v>46138</v>
      </c>
      <c r="C564" s="60" t="n">
        <v>46141</v>
      </c>
      <c r="D564" s="87" t="inlineStr">
        <is>
          <t>EDIPO FERNANDO HERCULANO DA SILVA</t>
        </is>
      </c>
      <c r="E564" s="87" t="inlineStr">
        <is>
          <t>Tokio</t>
        </is>
      </c>
      <c r="F564" s="87" t="inlineStr">
        <is>
          <t>John</t>
        </is>
      </c>
      <c r="G564" s="87" t="inlineStr">
        <is>
          <t>M</t>
        </is>
      </c>
      <c r="H564" s="78" t="n">
        <v>5511987908831</v>
      </c>
      <c r="I564" s="87" t="inlineStr">
        <is>
          <t>Novo</t>
        </is>
      </c>
      <c r="J564" s="87" t="inlineStr">
        <is>
          <t>Na planilha</t>
        </is>
      </c>
      <c r="K564" s="60" t="n">
        <v>46145</v>
      </c>
      <c r="L564" s="87">
        <f>TEXT(A564,"mmmm")</f>
        <v/>
      </c>
    </row>
    <row r="565">
      <c r="A565" s="60" t="n">
        <v>46135</v>
      </c>
      <c r="B565" s="60" t="n">
        <v>46138</v>
      </c>
      <c r="C565" s="60" t="n">
        <v>46141</v>
      </c>
      <c r="D565" s="87" t="inlineStr">
        <is>
          <t>CARLOS AUGUSTO BENTO BURKERT</t>
        </is>
      </c>
      <c r="E565" s="87" t="inlineStr">
        <is>
          <t>Porto</t>
        </is>
      </c>
      <c r="F565" s="87" t="inlineStr">
        <is>
          <t>Leticia</t>
        </is>
      </c>
      <c r="G565" s="87" t="inlineStr">
        <is>
          <t>F</t>
        </is>
      </c>
      <c r="H565" s="78" t="n">
        <v>5511977179121</v>
      </c>
      <c r="I565" s="87" t="inlineStr">
        <is>
          <t>Novo</t>
        </is>
      </c>
      <c r="J565" s="87" t="inlineStr">
        <is>
          <t>Assinado(manual)</t>
        </is>
      </c>
      <c r="K565" s="60" t="n">
        <v>46145</v>
      </c>
      <c r="L565" s="87">
        <f>TEXT(A565,"mmmm")</f>
        <v/>
      </c>
    </row>
    <row r="566">
      <c r="A566" s="60" t="n">
        <v>46135</v>
      </c>
      <c r="B566" s="60" t="n">
        <v>46138</v>
      </c>
      <c r="C566" s="60" t="n">
        <v>46141</v>
      </c>
      <c r="D566" s="87" t="inlineStr">
        <is>
          <t>LEANDRO MENEZES BATISTA</t>
        </is>
      </c>
      <c r="E566" s="87" t="inlineStr">
        <is>
          <t>Suhai</t>
        </is>
      </c>
      <c r="F566" s="87" t="inlineStr">
        <is>
          <t>Leticia</t>
        </is>
      </c>
      <c r="G566" s="87" t="inlineStr">
        <is>
          <t>F</t>
        </is>
      </c>
      <c r="H566" s="78" t="n">
        <v>5511980569594</v>
      </c>
      <c r="I566" s="87" t="inlineStr">
        <is>
          <t>Novo</t>
        </is>
      </c>
      <c r="J566" s="87" t="inlineStr">
        <is>
          <t>Assinado</t>
        </is>
      </c>
      <c r="K566" s="60" t="n">
        <v>46145</v>
      </c>
      <c r="L566" s="87">
        <f>TEXT(A566,"mmmm")</f>
        <v/>
      </c>
    </row>
    <row r="567">
      <c r="A567" s="60" t="n">
        <v>46135</v>
      </c>
      <c r="B567" s="60" t="n">
        <v>46138</v>
      </c>
      <c r="C567" s="60" t="n">
        <v>46141</v>
      </c>
      <c r="D567" s="87" t="inlineStr">
        <is>
          <t>ANDREY ALMEIDA ARAUJO</t>
        </is>
      </c>
      <c r="E567" s="87" t="inlineStr">
        <is>
          <t>Itaú</t>
        </is>
      </c>
      <c r="F567" s="87" t="inlineStr">
        <is>
          <t>Jacqueline</t>
        </is>
      </c>
      <c r="G567" s="87" t="inlineStr">
        <is>
          <t>F</t>
        </is>
      </c>
      <c r="H567" s="78" t="n">
        <v>5599985445569</v>
      </c>
      <c r="I567" s="87" t="inlineStr">
        <is>
          <t>Novo</t>
        </is>
      </c>
      <c r="J567" s="87" t="inlineStr">
        <is>
          <t>Assinado</t>
        </is>
      </c>
      <c r="K567" s="60" t="n">
        <v>46145</v>
      </c>
      <c r="L567" s="87">
        <f>TEXT(A567,"mmmm")</f>
        <v/>
      </c>
    </row>
    <row r="568">
      <c r="A568" s="60" t="n">
        <v>46135</v>
      </c>
      <c r="B568" s="60" t="n">
        <v>46138</v>
      </c>
      <c r="C568" s="60" t="n">
        <v>46141</v>
      </c>
      <c r="D568" s="87" t="inlineStr">
        <is>
          <t>CICERO LEITE DA SILVA</t>
        </is>
      </c>
      <c r="E568" s="87" t="inlineStr">
        <is>
          <t>Tokio</t>
        </is>
      </c>
      <c r="F568" s="87" t="inlineStr">
        <is>
          <t>Myrelle</t>
        </is>
      </c>
      <c r="G568" s="87" t="inlineStr">
        <is>
          <t>F</t>
        </is>
      </c>
      <c r="H568" s="78" t="n">
        <v>5511984875118</v>
      </c>
      <c r="I568" s="87" t="inlineStr">
        <is>
          <t>Novo</t>
        </is>
      </c>
      <c r="J568" s="87" t="inlineStr">
        <is>
          <t>Assinado</t>
        </is>
      </c>
      <c r="K568" s="60" t="n">
        <v>46145</v>
      </c>
      <c r="L568" s="87">
        <f>TEXT(A568,"mmmm")</f>
        <v/>
      </c>
    </row>
    <row r="569">
      <c r="A569" s="60" t="n">
        <v>46135</v>
      </c>
      <c r="B569" s="60" t="n">
        <v>46138</v>
      </c>
      <c r="C569" s="60" t="n">
        <v>46141</v>
      </c>
      <c r="D569" s="87" t="inlineStr">
        <is>
          <t>MARCIA FERREIRA DA SILVA</t>
        </is>
      </c>
      <c r="E569" s="87" t="inlineStr">
        <is>
          <t>Suhai</t>
        </is>
      </c>
      <c r="F569" s="87" t="inlineStr">
        <is>
          <t>Jacqueline</t>
        </is>
      </c>
      <c r="G569" s="87" t="inlineStr">
        <is>
          <t>F</t>
        </is>
      </c>
      <c r="H569" s="78" t="n">
        <v>5519983874126</v>
      </c>
      <c r="I569" s="87" t="inlineStr">
        <is>
          <t>Novo</t>
        </is>
      </c>
      <c r="J569" s="87" t="inlineStr">
        <is>
          <t>Assinado</t>
        </is>
      </c>
      <c r="K569" s="60" t="n">
        <v>46145</v>
      </c>
      <c r="L569" s="87">
        <f>TEXT(A569,"mmmm")</f>
        <v/>
      </c>
    </row>
    <row r="570">
      <c r="A570" s="60" t="n">
        <v>46135</v>
      </c>
      <c r="B570" s="60" t="n">
        <v>46138</v>
      </c>
      <c r="C570" s="60" t="n">
        <v>46141</v>
      </c>
      <c r="D570" s="87" t="inlineStr">
        <is>
          <t>GUILHERME RODRIGUES DE OLIVEIRA</t>
        </is>
      </c>
      <c r="E570" s="87" t="inlineStr">
        <is>
          <t>Azul</t>
        </is>
      </c>
      <c r="F570" s="87" t="inlineStr">
        <is>
          <t>Isabella</t>
        </is>
      </c>
      <c r="G570" s="87" t="inlineStr">
        <is>
          <t>F</t>
        </is>
      </c>
      <c r="H570" s="78" t="n">
        <v>5511962449205</v>
      </c>
      <c r="I570" s="87" t="inlineStr">
        <is>
          <t>Novo</t>
        </is>
      </c>
      <c r="J570" s="87" t="inlineStr">
        <is>
          <t>Na planilha</t>
        </is>
      </c>
      <c r="K570" s="60" t="n">
        <v>46145</v>
      </c>
      <c r="L570" s="87">
        <f>TEXT(A570,"mmmm")</f>
        <v/>
      </c>
    </row>
    <row r="571">
      <c r="A571" s="60" t="n">
        <v>46135</v>
      </c>
      <c r="B571" s="60" t="n">
        <v>46138</v>
      </c>
      <c r="C571" s="60" t="n">
        <v>46141</v>
      </c>
      <c r="D571" s="87" t="inlineStr">
        <is>
          <t>LUCAS ELIANDRO DE ARAUJO</t>
        </is>
      </c>
      <c r="E571" s="87" t="inlineStr">
        <is>
          <t>Azul</t>
        </is>
      </c>
      <c r="F571" s="87" t="inlineStr">
        <is>
          <t>Jacqueline</t>
        </is>
      </c>
      <c r="G571" s="87" t="inlineStr">
        <is>
          <t>F</t>
        </is>
      </c>
      <c r="H571" s="78" t="n">
        <v>5511986733854</v>
      </c>
      <c r="I571" s="87" t="inlineStr">
        <is>
          <t>Novo</t>
        </is>
      </c>
      <c r="J571" s="87" t="inlineStr">
        <is>
          <t>Assinado</t>
        </is>
      </c>
      <c r="K571" s="60" t="n">
        <v>46145</v>
      </c>
      <c r="L571" s="87">
        <f>TEXT(A571,"mmmm")</f>
        <v/>
      </c>
    </row>
    <row r="572">
      <c r="A572" s="60" t="n">
        <v>46136</v>
      </c>
      <c r="B572" s="60" t="n">
        <v>46139</v>
      </c>
      <c r="C572" s="60" t="n">
        <v>46142</v>
      </c>
      <c r="D572" s="87" t="inlineStr">
        <is>
          <t>MARIANA CASSIMIRO NASCIMENTO</t>
        </is>
      </c>
      <c r="E572" s="87" t="inlineStr">
        <is>
          <t>Suhai</t>
        </is>
      </c>
      <c r="F572" s="87" t="inlineStr">
        <is>
          <t>Jacqueline</t>
        </is>
      </c>
      <c r="G572" s="87" t="inlineStr">
        <is>
          <t>F</t>
        </is>
      </c>
      <c r="H572" s="78" t="n">
        <v>5511966568863</v>
      </c>
      <c r="I572" s="87" t="inlineStr">
        <is>
          <t>Novo</t>
        </is>
      </c>
      <c r="J572" s="87" t="inlineStr">
        <is>
          <t>Na planilha</t>
        </is>
      </c>
      <c r="K572" s="60" t="n">
        <v>46146</v>
      </c>
      <c r="L572" s="87">
        <f>TEXT(A572,"mmmm")</f>
        <v/>
      </c>
    </row>
    <row r="573">
      <c r="A573" s="60" t="n">
        <v>46136</v>
      </c>
      <c r="B573" s="60" t="n">
        <v>46139</v>
      </c>
      <c r="C573" s="60" t="n">
        <v>46142</v>
      </c>
      <c r="D573" s="87" t="inlineStr">
        <is>
          <t>RICARDO MATHEUS DOS SANTOS</t>
        </is>
      </c>
      <c r="E573" s="87" t="inlineStr">
        <is>
          <t>Azul</t>
        </is>
      </c>
      <c r="F573" s="87" t="inlineStr">
        <is>
          <t>Jacqueline</t>
        </is>
      </c>
      <c r="G573" s="87" t="inlineStr">
        <is>
          <t>F</t>
        </is>
      </c>
      <c r="H573" s="78" t="n">
        <v>5511960121314</v>
      </c>
      <c r="I573" s="87" t="inlineStr">
        <is>
          <t>Novo</t>
        </is>
      </c>
      <c r="J573" s="87" t="inlineStr">
        <is>
          <t>Assinado</t>
        </is>
      </c>
      <c r="K573" s="60" t="n">
        <v>46146</v>
      </c>
      <c r="L573" s="87">
        <f>TEXT(A573,"mmmm")</f>
        <v/>
      </c>
    </row>
    <row r="574">
      <c r="A574" s="60" t="n">
        <v>46136</v>
      </c>
      <c r="B574" s="60" t="n">
        <v>46139</v>
      </c>
      <c r="C574" s="60" t="n">
        <v>46142</v>
      </c>
      <c r="D574" s="87" t="inlineStr">
        <is>
          <t>CASSIO AFONSO GOZZO</t>
        </is>
      </c>
      <c r="E574" s="87" t="inlineStr">
        <is>
          <t>Tokio</t>
        </is>
      </c>
      <c r="F574" s="87" t="inlineStr">
        <is>
          <t>Leticia</t>
        </is>
      </c>
      <c r="G574" s="87" t="inlineStr">
        <is>
          <t>F</t>
        </is>
      </c>
      <c r="H574" s="78" t="n">
        <v>5511968688053</v>
      </c>
      <c r="I574" s="87" t="inlineStr">
        <is>
          <t>Novo</t>
        </is>
      </c>
      <c r="J574" s="87" t="inlineStr">
        <is>
          <t>Erro</t>
        </is>
      </c>
      <c r="K574" s="60" t="n">
        <v>46146</v>
      </c>
      <c r="L574" s="87">
        <f>TEXT(A574,"mmmm")</f>
        <v/>
      </c>
    </row>
    <row r="575">
      <c r="A575" s="60" t="n">
        <v>46136</v>
      </c>
      <c r="B575" s="60" t="n">
        <v>46139</v>
      </c>
      <c r="C575" s="60" t="n">
        <v>46142</v>
      </c>
      <c r="D575" s="87" t="inlineStr">
        <is>
          <t>JOSE AUGUSTO SOARES</t>
        </is>
      </c>
      <c r="E575" s="87" t="inlineStr">
        <is>
          <t>Porto</t>
        </is>
      </c>
      <c r="F575" s="87" t="inlineStr">
        <is>
          <t>Leticia</t>
        </is>
      </c>
      <c r="G575" s="87" t="inlineStr">
        <is>
          <t>F</t>
        </is>
      </c>
      <c r="H575" s="78" t="n">
        <v>5583986847232</v>
      </c>
      <c r="I575" s="87" t="inlineStr">
        <is>
          <t>Novo</t>
        </is>
      </c>
      <c r="J575" s="87" t="inlineStr">
        <is>
          <t>Assinado</t>
        </is>
      </c>
      <c r="K575" s="60" t="n">
        <v>46146</v>
      </c>
      <c r="L575" s="87">
        <f>TEXT(A575,"mmmm")</f>
        <v/>
      </c>
    </row>
    <row r="576">
      <c r="A576" s="60" t="n">
        <v>46136</v>
      </c>
      <c r="B576" s="60" t="n">
        <v>46139</v>
      </c>
      <c r="C576" s="60" t="n">
        <v>46142</v>
      </c>
      <c r="D576" s="87" t="inlineStr">
        <is>
          <t>ROGERIO CAJA SARMENTO</t>
        </is>
      </c>
      <c r="E576" s="87" t="inlineStr">
        <is>
          <t>Azul</t>
        </is>
      </c>
      <c r="F576" s="87" t="inlineStr">
        <is>
          <t>Myrelle</t>
        </is>
      </c>
      <c r="G576" s="87" t="inlineStr">
        <is>
          <t>F</t>
        </is>
      </c>
      <c r="H576" s="78" t="n">
        <v>5511982625331</v>
      </c>
      <c r="I576" s="87" t="inlineStr">
        <is>
          <t>Novo</t>
        </is>
      </c>
      <c r="J576" s="87" t="inlineStr">
        <is>
          <t>Assinado</t>
        </is>
      </c>
      <c r="K576" s="60" t="n">
        <v>46146</v>
      </c>
      <c r="L576" s="87">
        <f>TEXT(A576,"mmmm")</f>
        <v/>
      </c>
    </row>
    <row r="577">
      <c r="A577" s="60" t="n">
        <v>46136</v>
      </c>
      <c r="B577" s="60" t="n">
        <v>46139</v>
      </c>
      <c r="C577" s="60" t="n">
        <v>46142</v>
      </c>
      <c r="D577" s="87" t="inlineStr">
        <is>
          <t>IVANILDO BONFIM DE OLIVEIRA</t>
        </is>
      </c>
      <c r="E577" s="87" t="inlineStr">
        <is>
          <t>Yellum</t>
        </is>
      </c>
      <c r="F577" s="87" t="inlineStr">
        <is>
          <t>John</t>
        </is>
      </c>
      <c r="G577" s="87" t="inlineStr">
        <is>
          <t>M</t>
        </is>
      </c>
      <c r="H577" s="78" t="n">
        <v>5515998304248</v>
      </c>
      <c r="I577" s="87" t="inlineStr">
        <is>
          <t>Novo</t>
        </is>
      </c>
      <c r="J577" s="87" t="inlineStr">
        <is>
          <t>Assinado</t>
        </is>
      </c>
      <c r="K577" s="60" t="n">
        <v>46146</v>
      </c>
      <c r="L577" s="87">
        <f>TEXT(A577,"mmmm")</f>
        <v/>
      </c>
    </row>
    <row r="578">
      <c r="A578" s="60" t="n">
        <v>46136</v>
      </c>
      <c r="B578" s="60" t="n">
        <v>46139</v>
      </c>
      <c r="C578" s="60" t="n">
        <v>46142</v>
      </c>
      <c r="D578" s="87" t="inlineStr">
        <is>
          <t>EDSON NUNES DOS SANTOS</t>
        </is>
      </c>
      <c r="E578" s="87" t="inlineStr">
        <is>
          <t>Porto</t>
        </is>
      </c>
      <c r="F578" s="87" t="inlineStr">
        <is>
          <t>John</t>
        </is>
      </c>
      <c r="G578" s="87" t="inlineStr">
        <is>
          <t>M</t>
        </is>
      </c>
      <c r="H578" s="78" t="n">
        <v>5511942707425</v>
      </c>
      <c r="I578" s="87" t="inlineStr">
        <is>
          <t>Novo</t>
        </is>
      </c>
      <c r="J578" s="87" t="inlineStr">
        <is>
          <t>Assinado</t>
        </is>
      </c>
      <c r="K578" s="60" t="n">
        <v>46146</v>
      </c>
      <c r="L578" s="87">
        <f>TEXT(A578,"mmmm")</f>
        <v/>
      </c>
    </row>
    <row r="579">
      <c r="A579" s="60" t="n">
        <v>46136</v>
      </c>
      <c r="B579" s="60" t="n">
        <v>46139</v>
      </c>
      <c r="C579" s="60" t="n">
        <v>46142</v>
      </c>
      <c r="D579" s="87" t="inlineStr">
        <is>
          <t>LINCOLN JOSE SITTA</t>
        </is>
      </c>
      <c r="E579" s="87" t="inlineStr">
        <is>
          <t>Itaú</t>
        </is>
      </c>
      <c r="F579" s="87" t="inlineStr">
        <is>
          <t>Jacqueline</t>
        </is>
      </c>
      <c r="G579" s="87" t="inlineStr">
        <is>
          <t>F</t>
        </is>
      </c>
      <c r="H579" s="78" t="n">
        <v>5511991463351</v>
      </c>
      <c r="I579" s="87" t="inlineStr">
        <is>
          <t>Novo</t>
        </is>
      </c>
      <c r="J579" s="87" t="inlineStr">
        <is>
          <t>Assinado</t>
        </is>
      </c>
      <c r="K579" s="60" t="n">
        <v>46146</v>
      </c>
      <c r="L579" s="87">
        <f>TEXT(A579,"mmmm")</f>
        <v/>
      </c>
    </row>
    <row r="580">
      <c r="A580" s="60" t="n">
        <v>46139</v>
      </c>
      <c r="B580" s="60" t="n">
        <v>46142</v>
      </c>
      <c r="C580" s="60" t="n">
        <v>46115</v>
      </c>
      <c r="D580" s="87" t="inlineStr">
        <is>
          <t>ROLIELLE FERREIRA DA CUNHA</t>
        </is>
      </c>
      <c r="E580" s="87" t="inlineStr">
        <is>
          <t>Suhai</t>
        </is>
      </c>
      <c r="F580" s="87" t="inlineStr">
        <is>
          <t>Myrelle</t>
        </is>
      </c>
      <c r="G580" s="87" t="inlineStr">
        <is>
          <t>F</t>
        </is>
      </c>
      <c r="H580" s="78" t="n">
        <v>5511947229118</v>
      </c>
      <c r="I580" s="87" t="inlineStr">
        <is>
          <t>Novo</t>
        </is>
      </c>
      <c r="J580" s="87" t="inlineStr">
        <is>
          <t>Cancelado</t>
        </is>
      </c>
      <c r="K580" s="60" t="n">
        <v>46148</v>
      </c>
      <c r="L580" s="87">
        <f>TEXT(A580,"mmmm")</f>
        <v/>
      </c>
    </row>
    <row r="581">
      <c r="A581" s="60" t="n">
        <v>46139</v>
      </c>
      <c r="B581" s="60" t="n">
        <v>46142</v>
      </c>
      <c r="C581" s="60" t="n">
        <v>46115</v>
      </c>
      <c r="D581" s="87" t="inlineStr">
        <is>
          <t>ELISANGELA DIAS DOS SANTOS</t>
        </is>
      </c>
      <c r="E581" s="87" t="inlineStr">
        <is>
          <t>Porto</t>
        </is>
      </c>
      <c r="F581" s="87" t="inlineStr">
        <is>
          <t>Leticia</t>
        </is>
      </c>
      <c r="G581" s="87" t="inlineStr">
        <is>
          <t>F</t>
        </is>
      </c>
      <c r="H581" s="79" t="n">
        <v>5511981552029</v>
      </c>
      <c r="I581" s="87" t="inlineStr">
        <is>
          <t>Novo</t>
        </is>
      </c>
      <c r="J581" s="87" t="inlineStr">
        <is>
          <t>Assinado</t>
        </is>
      </c>
      <c r="K581" s="60" t="n">
        <v>46148</v>
      </c>
      <c r="L581" s="87">
        <f>TEXT(A581,"mmmm")</f>
        <v/>
      </c>
    </row>
    <row r="582">
      <c r="A582" s="60" t="n">
        <v>46139</v>
      </c>
      <c r="B582" s="60" t="n">
        <v>46142</v>
      </c>
      <c r="C582" s="60" t="n">
        <v>46115</v>
      </c>
      <c r="D582" s="87" t="inlineStr">
        <is>
          <t>DORIVAL DOS SANTOS DEVEZA</t>
        </is>
      </c>
      <c r="E582" s="87" t="inlineStr">
        <is>
          <t>Allianz</t>
        </is>
      </c>
      <c r="F582" s="87" t="inlineStr">
        <is>
          <t>Leticia</t>
        </is>
      </c>
      <c r="G582" s="87" t="inlineStr">
        <is>
          <t>F</t>
        </is>
      </c>
      <c r="H582" s="78" t="n">
        <v>5513982266210</v>
      </c>
      <c r="I582" s="87" t="inlineStr">
        <is>
          <t>Novo</t>
        </is>
      </c>
      <c r="J582" s="87" t="inlineStr">
        <is>
          <t>Assinado</t>
        </is>
      </c>
      <c r="K582" s="60" t="n">
        <v>46148</v>
      </c>
      <c r="L582" s="87">
        <f>TEXT(A582,"mmmm")</f>
        <v/>
      </c>
    </row>
    <row r="583">
      <c r="A583" s="60" t="n">
        <v>46139</v>
      </c>
      <c r="B583" s="60" t="n">
        <v>46142</v>
      </c>
      <c r="C583" s="60" t="n">
        <v>46115</v>
      </c>
      <c r="D583" s="87" t="inlineStr">
        <is>
          <t>RUBENS COSTA JUNIOR</t>
        </is>
      </c>
      <c r="E583" s="87" t="inlineStr">
        <is>
          <t>Tokio</t>
        </is>
      </c>
      <c r="F583" s="87" t="inlineStr">
        <is>
          <t>Leticia</t>
        </is>
      </c>
      <c r="G583" s="87" t="inlineStr">
        <is>
          <t>F</t>
        </is>
      </c>
      <c r="H583" s="78" t="n">
        <v>5515981294911</v>
      </c>
      <c r="I583" s="87" t="inlineStr">
        <is>
          <t>Novo</t>
        </is>
      </c>
      <c r="J583" s="87" t="inlineStr">
        <is>
          <t>Assinado</t>
        </is>
      </c>
      <c r="K583" s="60" t="n">
        <v>46148</v>
      </c>
      <c r="L583" s="87">
        <f>TEXT(A583,"mmmm")</f>
        <v/>
      </c>
    </row>
    <row r="584">
      <c r="A584" s="60" t="n">
        <v>46139</v>
      </c>
      <c r="B584" s="60" t="n">
        <v>46142</v>
      </c>
      <c r="C584" s="60" t="n">
        <v>46115</v>
      </c>
      <c r="D584" s="87" t="inlineStr">
        <is>
          <t>JULIA DA CONCEICAO SILVA</t>
        </is>
      </c>
      <c r="E584" s="87" t="inlineStr">
        <is>
          <t>Suhai</t>
        </is>
      </c>
      <c r="F584" s="87" t="inlineStr">
        <is>
          <t>John</t>
        </is>
      </c>
      <c r="G584" s="87" t="inlineStr">
        <is>
          <t>M</t>
        </is>
      </c>
      <c r="H584" s="78" t="n">
        <v>5511992162049</v>
      </c>
      <c r="I584" s="87" t="inlineStr">
        <is>
          <t>Novo</t>
        </is>
      </c>
      <c r="J584" s="87" t="inlineStr">
        <is>
          <t>Erro</t>
        </is>
      </c>
      <c r="K584" s="60" t="n">
        <v>46148</v>
      </c>
      <c r="L584" s="87">
        <f>TEXT(A584,"mmmm")</f>
        <v/>
      </c>
    </row>
    <row r="585">
      <c r="A585" s="60" t="n">
        <v>46139</v>
      </c>
      <c r="B585" s="60" t="n">
        <v>46142</v>
      </c>
      <c r="C585" s="60" t="n">
        <v>46115</v>
      </c>
      <c r="D585" s="87" t="inlineStr">
        <is>
          <t>DANIEL FERREIRA DE SOUZA</t>
        </is>
      </c>
      <c r="E585" s="87" t="inlineStr">
        <is>
          <t>Azul</t>
        </is>
      </c>
      <c r="F585" s="87" t="inlineStr">
        <is>
          <t>John</t>
        </is>
      </c>
      <c r="G585" s="87" t="inlineStr">
        <is>
          <t>M</t>
        </is>
      </c>
      <c r="H585" s="78" t="n">
        <v>5513974089793</v>
      </c>
      <c r="I585" s="87" t="inlineStr">
        <is>
          <t>Novo</t>
        </is>
      </c>
      <c r="J585" s="87" t="inlineStr">
        <is>
          <t>Assinado</t>
        </is>
      </c>
      <c r="K585" s="60" t="n">
        <v>46148</v>
      </c>
      <c r="L585" s="87">
        <f>TEXT(A585,"mmmm")</f>
        <v/>
      </c>
    </row>
    <row r="586">
      <c r="A586" s="60" t="n">
        <v>46139</v>
      </c>
      <c r="B586" s="60" t="n">
        <v>46142</v>
      </c>
      <c r="C586" s="60" t="n">
        <v>46115</v>
      </c>
      <c r="D586" s="87" t="inlineStr">
        <is>
          <t>THIAGO DE LIMA DIAS</t>
        </is>
      </c>
      <c r="E586" s="87" t="inlineStr">
        <is>
          <t>Azul</t>
        </is>
      </c>
      <c r="F586" s="87" t="inlineStr">
        <is>
          <t>John</t>
        </is>
      </c>
      <c r="G586" s="87" t="inlineStr">
        <is>
          <t>M</t>
        </is>
      </c>
      <c r="H586" s="78" t="n">
        <v>5511977926561</v>
      </c>
      <c r="I586" s="87" t="inlineStr">
        <is>
          <t>Novo</t>
        </is>
      </c>
      <c r="J586" s="87" t="inlineStr">
        <is>
          <t>Na planilha</t>
        </is>
      </c>
      <c r="K586" s="60" t="n">
        <v>46148</v>
      </c>
      <c r="L586" s="87">
        <f>TEXT(A586,"mmmm")</f>
        <v/>
      </c>
    </row>
    <row r="587">
      <c r="A587" s="60" t="n">
        <v>46139</v>
      </c>
      <c r="B587" s="60" t="n">
        <v>46142</v>
      </c>
      <c r="C587" s="60" t="n">
        <v>46115</v>
      </c>
      <c r="D587" s="87" t="inlineStr">
        <is>
          <t>ELIZABETE SILVA PERES</t>
        </is>
      </c>
      <c r="E587" s="87" t="inlineStr">
        <is>
          <t>Allianz</t>
        </is>
      </c>
      <c r="F587" s="87" t="inlineStr">
        <is>
          <t>Isabella</t>
        </is>
      </c>
      <c r="G587" s="87" t="inlineStr">
        <is>
          <t>F</t>
        </is>
      </c>
      <c r="H587" s="78" t="n">
        <v>5514998209069</v>
      </c>
      <c r="I587" s="87" t="inlineStr">
        <is>
          <t>Novo</t>
        </is>
      </c>
      <c r="J587" s="87" t="inlineStr">
        <is>
          <t>Na planilha</t>
        </is>
      </c>
      <c r="K587" s="60" t="n">
        <v>46148</v>
      </c>
      <c r="L587" s="87">
        <f>TEXT(A587,"mmmm")</f>
        <v/>
      </c>
    </row>
    <row r="588">
      <c r="A588" s="60" t="n">
        <v>46139</v>
      </c>
      <c r="B588" s="60" t="n">
        <v>46142</v>
      </c>
      <c r="C588" s="60" t="n">
        <v>46115</v>
      </c>
      <c r="D588" s="87" t="inlineStr">
        <is>
          <t>ISMAEL PEREIRA DA SILVA</t>
        </is>
      </c>
      <c r="E588" s="87" t="inlineStr">
        <is>
          <t>Allianz</t>
        </is>
      </c>
      <c r="F588" s="87" t="inlineStr">
        <is>
          <t>John</t>
        </is>
      </c>
      <c r="G588" s="87" t="inlineStr">
        <is>
          <t>M</t>
        </is>
      </c>
      <c r="H588" s="78" t="n">
        <v>5511963230410</v>
      </c>
      <c r="I588" s="87" t="inlineStr">
        <is>
          <t>Novo</t>
        </is>
      </c>
      <c r="J588" s="87" t="inlineStr">
        <is>
          <t>Assinado</t>
        </is>
      </c>
      <c r="K588" s="60" t="n">
        <v>46148</v>
      </c>
      <c r="L588" s="87">
        <f>TEXT(A588,"mmmm")</f>
        <v/>
      </c>
    </row>
    <row r="589">
      <c r="A589" s="60" t="n">
        <v>46140</v>
      </c>
      <c r="B589" s="60" t="n">
        <v>46143</v>
      </c>
      <c r="C589" s="60" t="n">
        <v>46146</v>
      </c>
      <c r="D589" s="87" t="inlineStr">
        <is>
          <t>JOSE GERALDO DE MATOS</t>
        </is>
      </c>
      <c r="E589" s="87" t="inlineStr">
        <is>
          <t>Azul</t>
        </is>
      </c>
      <c r="F589" s="87" t="inlineStr">
        <is>
          <t>Jacqueline</t>
        </is>
      </c>
      <c r="G589" s="87" t="inlineStr">
        <is>
          <t>F</t>
        </is>
      </c>
      <c r="H589" s="78" t="n">
        <v>5511958054447</v>
      </c>
      <c r="I589" s="87" t="inlineStr">
        <is>
          <t>Novo</t>
        </is>
      </c>
      <c r="J589" s="87" t="inlineStr">
        <is>
          <t>Assinado</t>
        </is>
      </c>
      <c r="K589" s="60" t="n">
        <v>46149</v>
      </c>
      <c r="L589" s="87">
        <f>TEXT(A589,"mmmm")</f>
        <v/>
      </c>
    </row>
    <row r="590">
      <c r="A590" s="60" t="n">
        <v>46140</v>
      </c>
      <c r="B590" s="60" t="n">
        <v>46143</v>
      </c>
      <c r="C590" s="60" t="n">
        <v>46146</v>
      </c>
      <c r="D590" s="87" t="inlineStr">
        <is>
          <t>FRANCALINO ALVES BEZERRA</t>
        </is>
      </c>
      <c r="E590" s="87" t="inlineStr">
        <is>
          <t>Suhai</t>
        </is>
      </c>
      <c r="F590" s="87" t="inlineStr">
        <is>
          <t>John</t>
        </is>
      </c>
      <c r="G590" s="87" t="inlineStr">
        <is>
          <t>M</t>
        </is>
      </c>
      <c r="H590" s="78" t="n">
        <v>5511942715424</v>
      </c>
      <c r="I590" s="87" t="inlineStr">
        <is>
          <t>Novo</t>
        </is>
      </c>
      <c r="J590" s="87" t="inlineStr">
        <is>
          <t>Assinado</t>
        </is>
      </c>
      <c r="K590" s="60" t="n">
        <v>46149</v>
      </c>
      <c r="L590" s="87">
        <f>TEXT(A590,"mmmm")</f>
        <v/>
      </c>
    </row>
    <row r="591">
      <c r="A591" s="60" t="n">
        <v>46140</v>
      </c>
      <c r="B591" s="60" t="n">
        <v>46143</v>
      </c>
      <c r="C591" s="60" t="n">
        <v>46146</v>
      </c>
      <c r="D591" s="87" t="inlineStr">
        <is>
          <t>RAFAEL MIYASATO</t>
        </is>
      </c>
      <c r="E591" s="87" t="inlineStr">
        <is>
          <t>Tokio</t>
        </is>
      </c>
      <c r="F591" s="87" t="inlineStr">
        <is>
          <t>John</t>
        </is>
      </c>
      <c r="G591" s="87" t="inlineStr">
        <is>
          <t>M</t>
        </is>
      </c>
      <c r="H591" s="78" t="n">
        <v>5511965983184</v>
      </c>
      <c r="I591" s="87" t="inlineStr">
        <is>
          <t>Novo</t>
        </is>
      </c>
      <c r="J591" s="87" t="inlineStr">
        <is>
          <t>Assinado</t>
        </is>
      </c>
      <c r="K591" s="60" t="n">
        <v>46149</v>
      </c>
      <c r="L591" s="87">
        <f>TEXT(A591,"mmmm")</f>
        <v/>
      </c>
    </row>
    <row r="592">
      <c r="A592" s="60" t="n">
        <v>46140</v>
      </c>
      <c r="B592" s="60" t="n">
        <v>46143</v>
      </c>
      <c r="C592" s="60" t="n">
        <v>46146</v>
      </c>
      <c r="D592" s="87" t="inlineStr">
        <is>
          <t>ANSELMO TEIXEIRA DA SILVA</t>
        </is>
      </c>
      <c r="E592" s="87" t="inlineStr">
        <is>
          <t>Tokio</t>
        </is>
      </c>
      <c r="F592" s="87" t="inlineStr">
        <is>
          <t>Leticia</t>
        </is>
      </c>
      <c r="G592" s="87" t="inlineStr">
        <is>
          <t>F</t>
        </is>
      </c>
      <c r="H592" s="78" t="n">
        <v>5511986214041</v>
      </c>
      <c r="I592" s="87" t="inlineStr">
        <is>
          <t>Novo</t>
        </is>
      </c>
      <c r="J592" s="87" t="inlineStr">
        <is>
          <t>Assinado</t>
        </is>
      </c>
      <c r="K592" s="60" t="n">
        <v>46149</v>
      </c>
      <c r="L592" s="87">
        <f>TEXT(A592,"mmmm")</f>
        <v/>
      </c>
    </row>
    <row r="593">
      <c r="A593" s="60" t="n">
        <v>46140</v>
      </c>
      <c r="B593" s="60" t="n">
        <v>46143</v>
      </c>
      <c r="C593" s="60" t="n">
        <v>46146</v>
      </c>
      <c r="D593" s="87" t="inlineStr">
        <is>
          <t>ANTONIO MARCOS RODRIGUES DOS SANTOS</t>
        </is>
      </c>
      <c r="E593" s="87" t="inlineStr">
        <is>
          <t>Azul</t>
        </is>
      </c>
      <c r="F593" s="87" t="inlineStr">
        <is>
          <t>Leticia</t>
        </is>
      </c>
      <c r="G593" s="87" t="inlineStr">
        <is>
          <t>F</t>
        </is>
      </c>
      <c r="H593" s="78" t="n">
        <v>5511918745882</v>
      </c>
      <c r="I593" s="87" t="inlineStr">
        <is>
          <t>Novo</t>
        </is>
      </c>
      <c r="J593" s="87" t="inlineStr">
        <is>
          <t>Erro</t>
        </is>
      </c>
      <c r="K593" s="60" t="n">
        <v>46149</v>
      </c>
      <c r="L593" s="87">
        <f>TEXT(A593,"mmmm")</f>
        <v/>
      </c>
    </row>
    <row r="594">
      <c r="A594" s="60" t="n">
        <v>46140</v>
      </c>
      <c r="B594" s="60" t="n">
        <v>46143</v>
      </c>
      <c r="C594" s="60" t="n">
        <v>46146</v>
      </c>
      <c r="D594" s="87" t="inlineStr">
        <is>
          <t>BELMIRO DE OLIVEIRA CAMARGO</t>
        </is>
      </c>
      <c r="E594" s="87" t="inlineStr">
        <is>
          <t>Porto</t>
        </is>
      </c>
      <c r="F594" s="87" t="inlineStr">
        <is>
          <t>John</t>
        </is>
      </c>
      <c r="G594" s="87" t="inlineStr">
        <is>
          <t>M</t>
        </is>
      </c>
      <c r="H594" s="78" t="n">
        <v>5511984835980</v>
      </c>
      <c r="I594" s="87" t="inlineStr">
        <is>
          <t>Renovação</t>
        </is>
      </c>
      <c r="J594" s="87" t="inlineStr">
        <is>
          <t>Assinado</t>
        </is>
      </c>
      <c r="K594" s="60" t="n">
        <v>46149</v>
      </c>
      <c r="L594" s="87">
        <f>TEXT(A594,"mmmm")</f>
        <v/>
      </c>
    </row>
    <row r="595">
      <c r="A595" s="60" t="n">
        <v>46140</v>
      </c>
      <c r="B595" s="60" t="n">
        <v>46143</v>
      </c>
      <c r="C595" s="60" t="n">
        <v>46146</v>
      </c>
      <c r="D595" s="87" t="inlineStr">
        <is>
          <t>LUIZ AIRES DE FREITAS</t>
        </is>
      </c>
      <c r="E595" s="87" t="inlineStr">
        <is>
          <t>Mapfre</t>
        </is>
      </c>
      <c r="F595" s="87" t="inlineStr">
        <is>
          <t>Leticia</t>
        </is>
      </c>
      <c r="G595" s="87" t="inlineStr">
        <is>
          <t>F</t>
        </is>
      </c>
      <c r="H595" s="78" t="n">
        <v>5511978223180</v>
      </c>
      <c r="I595" s="87" t="inlineStr">
        <is>
          <t>Novo</t>
        </is>
      </c>
      <c r="J595" s="87" t="inlineStr">
        <is>
          <t>Na planilha</t>
        </is>
      </c>
      <c r="K595" s="60" t="n">
        <v>46149</v>
      </c>
      <c r="L595" s="87">
        <f>TEXT(A595,"mmmm")</f>
        <v/>
      </c>
    </row>
    <row r="596">
      <c r="A596" s="60" t="n">
        <v>46140</v>
      </c>
      <c r="B596" s="60" t="n">
        <v>46143</v>
      </c>
      <c r="C596" s="60" t="n">
        <v>46146</v>
      </c>
      <c r="D596" s="87" t="inlineStr">
        <is>
          <t>ADENILTON SILVA DE JESUS</t>
        </is>
      </c>
      <c r="E596" s="87" t="inlineStr">
        <is>
          <t>Suhai</t>
        </is>
      </c>
      <c r="F596" s="87" t="inlineStr">
        <is>
          <t>Leticia</t>
        </is>
      </c>
      <c r="G596" s="87" t="inlineStr">
        <is>
          <t>F</t>
        </is>
      </c>
      <c r="H596" s="78" t="n">
        <v>5511985938553</v>
      </c>
      <c r="I596" s="87" t="inlineStr">
        <is>
          <t>Novo</t>
        </is>
      </c>
      <c r="J596" s="87" t="inlineStr">
        <is>
          <t>Assinado</t>
        </is>
      </c>
      <c r="K596" s="60" t="n">
        <v>46149</v>
      </c>
      <c r="L596" s="87">
        <f>TEXT(A596,"mmmm")</f>
        <v/>
      </c>
    </row>
    <row r="597">
      <c r="A597" s="60" t="n">
        <v>46140</v>
      </c>
      <c r="B597" s="60" t="n">
        <v>46143</v>
      </c>
      <c r="C597" s="60" t="n">
        <v>46146</v>
      </c>
      <c r="D597" s="87" t="inlineStr">
        <is>
          <t>WILLIAM BRAGA SALVIONE</t>
        </is>
      </c>
      <c r="E597" s="87" t="inlineStr">
        <is>
          <t>Azul</t>
        </is>
      </c>
      <c r="F597" s="87" t="inlineStr">
        <is>
          <t>Jacqueline</t>
        </is>
      </c>
      <c r="G597" s="87" t="inlineStr">
        <is>
          <t>F</t>
        </is>
      </c>
      <c r="H597" s="78" t="n">
        <v>5511989402141</v>
      </c>
      <c r="I597" s="87" t="inlineStr">
        <is>
          <t>Novo</t>
        </is>
      </c>
      <c r="J597" s="87" t="inlineStr">
        <is>
          <t>Assinado</t>
        </is>
      </c>
      <c r="K597" s="60" t="n">
        <v>46149</v>
      </c>
      <c r="L597" s="87">
        <f>TEXT(A597,"mmmm")</f>
        <v/>
      </c>
    </row>
    <row r="598">
      <c r="A598" s="60" t="n">
        <v>46140</v>
      </c>
      <c r="B598" s="60" t="n">
        <v>46143</v>
      </c>
      <c r="C598" s="60" t="n">
        <v>46146</v>
      </c>
      <c r="D598" s="87" t="inlineStr">
        <is>
          <t>CARLOS ALBERTO MENDES</t>
        </is>
      </c>
      <c r="E598" s="87" t="inlineStr">
        <is>
          <t>Azul</t>
        </is>
      </c>
      <c r="F598" s="87" t="inlineStr">
        <is>
          <t>Jacqueline</t>
        </is>
      </c>
      <c r="G598" s="87" t="inlineStr">
        <is>
          <t>F</t>
        </is>
      </c>
      <c r="H598" s="78" t="n">
        <v>5521994343086</v>
      </c>
      <c r="I598" s="87" t="inlineStr">
        <is>
          <t>Novo</t>
        </is>
      </c>
      <c r="J598" s="87" t="inlineStr">
        <is>
          <t>Assinado</t>
        </is>
      </c>
      <c r="K598" s="60" t="n">
        <v>46149</v>
      </c>
      <c r="L598" s="87">
        <f>TEXT(A598,"mmmm")</f>
        <v/>
      </c>
    </row>
    <row r="599">
      <c r="A599" s="60" t="n">
        <v>46140</v>
      </c>
      <c r="B599" s="60" t="n">
        <v>46143</v>
      </c>
      <c r="C599" s="60" t="n">
        <v>46146</v>
      </c>
      <c r="D599" s="87" t="inlineStr">
        <is>
          <t>ALEX GOMES DO REGO</t>
        </is>
      </c>
      <c r="E599" s="87" t="inlineStr">
        <is>
          <t>Azul</t>
        </is>
      </c>
      <c r="F599" s="87" t="inlineStr">
        <is>
          <t>John</t>
        </is>
      </c>
      <c r="G599" s="87" t="inlineStr">
        <is>
          <t>M</t>
        </is>
      </c>
      <c r="H599" s="78" t="n">
        <v>551969389184</v>
      </c>
      <c r="I599" s="87" t="inlineStr">
        <is>
          <t>Novo</t>
        </is>
      </c>
      <c r="J599" s="87" t="inlineStr">
        <is>
          <t>Na planilha</t>
        </is>
      </c>
      <c r="K599" s="60" t="n">
        <v>46149</v>
      </c>
      <c r="L599" s="87">
        <f>TEXT(A599,"mmmm")</f>
        <v/>
      </c>
    </row>
    <row r="600">
      <c r="A600" s="60" t="n">
        <v>46141</v>
      </c>
      <c r="B600" s="60" t="n">
        <v>46144</v>
      </c>
      <c r="C600" s="60" t="n">
        <v>46147</v>
      </c>
      <c r="D600" s="87" t="inlineStr">
        <is>
          <t>JULIANA DE SOUZA NASCIMENTO</t>
        </is>
      </c>
      <c r="E600" s="87" t="inlineStr">
        <is>
          <t>Tokio</t>
        </is>
      </c>
      <c r="F600" s="87" t="inlineStr">
        <is>
          <t>Leticia</t>
        </is>
      </c>
      <c r="G600" s="87" t="inlineStr">
        <is>
          <t>F</t>
        </is>
      </c>
      <c r="H600" s="78" t="n">
        <v>5511951462361</v>
      </c>
      <c r="I600" s="87" t="inlineStr">
        <is>
          <t>Novo</t>
        </is>
      </c>
      <c r="J600" s="87" t="inlineStr">
        <is>
          <t>Assinado</t>
        </is>
      </c>
      <c r="K600" s="60" t="n">
        <v>46150</v>
      </c>
      <c r="L600" s="87">
        <f>TEXT(A600,"mmmm")</f>
        <v/>
      </c>
    </row>
    <row r="601">
      <c r="A601" s="60" t="n">
        <v>46141</v>
      </c>
      <c r="B601" s="60" t="n">
        <v>46144</v>
      </c>
      <c r="C601" s="60" t="n">
        <v>46147</v>
      </c>
      <c r="D601" s="87" t="inlineStr">
        <is>
          <t>ISABELLA SERRA SOUZA</t>
        </is>
      </c>
      <c r="E601" s="87" t="inlineStr">
        <is>
          <t>Suhai</t>
        </is>
      </c>
      <c r="F601" s="87" t="inlineStr">
        <is>
          <t>Pamela</t>
        </is>
      </c>
      <c r="G601" s="87" t="inlineStr">
        <is>
          <t>F</t>
        </is>
      </c>
      <c r="H601" s="78" t="n">
        <v>5511944466013</v>
      </c>
      <c r="I601" s="87" t="inlineStr">
        <is>
          <t>Novo</t>
        </is>
      </c>
      <c r="J601" s="87" t="inlineStr">
        <is>
          <t>Assinado</t>
        </is>
      </c>
      <c r="K601" s="60" t="n">
        <v>46150</v>
      </c>
      <c r="L601" s="87">
        <f>TEXT(A601,"mmmm")</f>
        <v/>
      </c>
    </row>
    <row r="602">
      <c r="A602" s="60" t="n">
        <v>46141</v>
      </c>
      <c r="B602" s="60" t="n">
        <v>46144</v>
      </c>
      <c r="C602" s="60" t="n">
        <v>46147</v>
      </c>
      <c r="D602" s="87" t="inlineStr">
        <is>
          <t>GASPAR JOSE DA SILVA</t>
        </is>
      </c>
      <c r="E602" s="87" t="inlineStr">
        <is>
          <t>Porto</t>
        </is>
      </c>
      <c r="F602" s="87" t="inlineStr">
        <is>
          <t>John</t>
        </is>
      </c>
      <c r="G602" s="87" t="inlineStr">
        <is>
          <t>M</t>
        </is>
      </c>
      <c r="H602" s="78" t="n">
        <v>5516988747432</v>
      </c>
      <c r="I602" s="87" t="inlineStr">
        <is>
          <t>Novo</t>
        </is>
      </c>
      <c r="J602" s="87" t="inlineStr">
        <is>
          <t>Assinado</t>
        </is>
      </c>
      <c r="K602" s="60" t="n">
        <v>46150</v>
      </c>
      <c r="L602" s="87">
        <f>TEXT(A602,"mmmm")</f>
        <v/>
      </c>
    </row>
    <row r="603">
      <c r="A603" s="60" t="n">
        <v>46141</v>
      </c>
      <c r="B603" s="60" t="n">
        <v>46144</v>
      </c>
      <c r="C603" s="60" t="n">
        <v>46147</v>
      </c>
      <c r="D603" s="87" t="inlineStr">
        <is>
          <t>PAULO PEREIRA</t>
        </is>
      </c>
      <c r="E603" s="87" t="inlineStr">
        <is>
          <t>Azul</t>
        </is>
      </c>
      <c r="F603" s="87" t="inlineStr">
        <is>
          <t>John</t>
        </is>
      </c>
      <c r="G603" s="87" t="inlineStr">
        <is>
          <t>M</t>
        </is>
      </c>
      <c r="H603" s="78" t="n">
        <v>5511960913335</v>
      </c>
      <c r="I603" s="87" t="inlineStr">
        <is>
          <t>Renovação</t>
        </is>
      </c>
      <c r="J603" s="87" t="inlineStr">
        <is>
          <t>Assinado(manual)</t>
        </is>
      </c>
      <c r="K603" s="60" t="n">
        <v>46150</v>
      </c>
      <c r="L603" s="87">
        <f>TEXT(A603,"mmmm")</f>
        <v/>
      </c>
    </row>
    <row r="604">
      <c r="A604" s="60" t="n">
        <v>46142</v>
      </c>
      <c r="B604" s="60" t="n">
        <v>46145</v>
      </c>
      <c r="C604" s="60" t="n">
        <v>46148</v>
      </c>
      <c r="D604" s="87" t="inlineStr">
        <is>
          <t>GENESIR FERRAZ DE MORAIS</t>
        </is>
      </c>
      <c r="E604" s="87" t="inlineStr">
        <is>
          <t>Mapfre</t>
        </is>
      </c>
      <c r="F604" s="87" t="inlineStr">
        <is>
          <t>Jacqueline</t>
        </is>
      </c>
      <c r="G604" s="87" t="inlineStr">
        <is>
          <t>F</t>
        </is>
      </c>
      <c r="H604" s="78" t="n">
        <v>5511975734332</v>
      </c>
      <c r="I604" s="87" t="inlineStr">
        <is>
          <t>Novo</t>
        </is>
      </c>
      <c r="J604" s="87" t="inlineStr">
        <is>
          <t>Erro</t>
        </is>
      </c>
      <c r="K604" s="60" t="n">
        <v>46151</v>
      </c>
      <c r="L604" s="87">
        <f>TEXT(A604,"mmmm")</f>
        <v/>
      </c>
    </row>
    <row r="605">
      <c r="A605" s="60" t="n">
        <v>46142</v>
      </c>
      <c r="B605" s="60" t="n">
        <v>46145</v>
      </c>
      <c r="C605" s="60" t="n">
        <v>46148</v>
      </c>
      <c r="D605" s="87" t="inlineStr">
        <is>
          <t>RAFAEL DIAS CORDEIRO SILVA DOS SANTOS</t>
        </is>
      </c>
      <c r="E605" s="87" t="inlineStr">
        <is>
          <t>Suhai</t>
        </is>
      </c>
      <c r="F605" s="87" t="inlineStr">
        <is>
          <t>Leticia</t>
        </is>
      </c>
      <c r="G605" s="87" t="inlineStr">
        <is>
          <t>F</t>
        </is>
      </c>
      <c r="H605" s="78" t="n">
        <v>5511976353505</v>
      </c>
      <c r="I605" s="87" t="inlineStr">
        <is>
          <t>Novo</t>
        </is>
      </c>
      <c r="J605" s="87" t="inlineStr">
        <is>
          <t>Na planilha</t>
        </is>
      </c>
      <c r="K605" s="60" t="n">
        <v>46151</v>
      </c>
      <c r="L605" s="87">
        <f>TEXT(A605,"mmmm")</f>
        <v/>
      </c>
    </row>
    <row r="606">
      <c r="A606" s="60" t="n">
        <v>46142</v>
      </c>
      <c r="B606" s="60" t="n">
        <v>46145</v>
      </c>
      <c r="C606" s="60" t="n">
        <v>46148</v>
      </c>
      <c r="D606" s="87" t="inlineStr">
        <is>
          <t>RENATO ALVES VELOSO</t>
        </is>
      </c>
      <c r="E606" s="87" t="inlineStr">
        <is>
          <t>Azul</t>
        </is>
      </c>
      <c r="F606" s="87" t="inlineStr">
        <is>
          <t>John</t>
        </is>
      </c>
      <c r="G606" s="87" t="inlineStr">
        <is>
          <t>M</t>
        </is>
      </c>
      <c r="H606" s="78" t="n">
        <v>5511977567741</v>
      </c>
      <c r="I606" s="87" t="inlineStr">
        <is>
          <t>Novo</t>
        </is>
      </c>
      <c r="J606" s="87" t="inlineStr">
        <is>
          <t>Assinado</t>
        </is>
      </c>
      <c r="K606" s="60" t="n">
        <v>46151</v>
      </c>
      <c r="L606" s="87">
        <f>TEXT(A606,"mmmm")</f>
        <v/>
      </c>
    </row>
    <row r="607">
      <c r="A607" s="60" t="n">
        <v>46142</v>
      </c>
      <c r="B607" s="60" t="n">
        <v>46145</v>
      </c>
      <c r="C607" s="60" t="n">
        <v>46148</v>
      </c>
      <c r="D607" s="87" t="inlineStr">
        <is>
          <t>SILVIO JOSE PAULA DE OLIVEIRA</t>
        </is>
      </c>
      <c r="E607" s="87" t="inlineStr">
        <is>
          <t>Suhai</t>
        </is>
      </c>
      <c r="F607" s="87" t="inlineStr">
        <is>
          <t>John</t>
        </is>
      </c>
      <c r="G607" s="87" t="inlineStr">
        <is>
          <t>M</t>
        </is>
      </c>
      <c r="H607" s="78" t="n">
        <v>5511914871656</v>
      </c>
      <c r="I607" s="87" t="inlineStr">
        <is>
          <t>Novo</t>
        </is>
      </c>
      <c r="J607" s="87" t="inlineStr">
        <is>
          <t>Na planilha</t>
        </is>
      </c>
      <c r="K607" s="60" t="n">
        <v>46151</v>
      </c>
      <c r="L607" s="87">
        <f>TEXT(A607,"mmmm")</f>
        <v/>
      </c>
    </row>
    <row r="608">
      <c r="A608" s="60" t="n">
        <v>46142</v>
      </c>
      <c r="B608" s="60" t="n">
        <v>46145</v>
      </c>
      <c r="C608" s="60" t="n">
        <v>46148</v>
      </c>
      <c r="D608" s="87" t="inlineStr">
        <is>
          <t>CAROLINE CICONELLI GIRO</t>
        </is>
      </c>
      <c r="E608" s="87" t="inlineStr">
        <is>
          <t>Azul</t>
        </is>
      </c>
      <c r="F608" s="87" t="inlineStr">
        <is>
          <t>John</t>
        </is>
      </c>
      <c r="G608" s="87" t="inlineStr">
        <is>
          <t>M</t>
        </is>
      </c>
      <c r="H608" s="78" t="n">
        <v>5511963907890</v>
      </c>
      <c r="I608" s="87" t="inlineStr">
        <is>
          <t>Novo</t>
        </is>
      </c>
      <c r="J608" s="87" t="inlineStr">
        <is>
          <t>Assinado</t>
        </is>
      </c>
      <c r="K608" s="60" t="n">
        <v>46151</v>
      </c>
      <c r="L608" s="87">
        <f>TEXT(A608,"mmmm")</f>
        <v/>
      </c>
    </row>
    <row r="609">
      <c r="A609" s="60" t="n">
        <v>46142</v>
      </c>
      <c r="B609" s="60" t="n">
        <v>46145</v>
      </c>
      <c r="C609" s="60" t="n">
        <v>46148</v>
      </c>
      <c r="D609" s="87" t="inlineStr">
        <is>
          <t>RENATO FERNANDO BARROS DOS SANTOS</t>
        </is>
      </c>
      <c r="E609" s="87" t="inlineStr">
        <is>
          <t>Azul</t>
        </is>
      </c>
      <c r="F609" s="87" t="inlineStr">
        <is>
          <t>John</t>
        </is>
      </c>
      <c r="G609" s="87" t="inlineStr">
        <is>
          <t>M</t>
        </is>
      </c>
      <c r="H609" s="78" t="n">
        <v>551976551976</v>
      </c>
      <c r="I609" s="87" t="inlineStr">
        <is>
          <t>Renovação</t>
        </is>
      </c>
      <c r="J609" s="87" t="inlineStr">
        <is>
          <t>Assinado</t>
        </is>
      </c>
      <c r="K609" s="60" t="n">
        <v>46151</v>
      </c>
      <c r="L609" s="87">
        <f>TEXT(A609,"mmmm")</f>
        <v/>
      </c>
    </row>
    <row r="610">
      <c r="A610" s="60" t="n">
        <v>46142</v>
      </c>
      <c r="B610" s="60" t="n">
        <v>46145</v>
      </c>
      <c r="C610" s="60" t="n">
        <v>46148</v>
      </c>
      <c r="D610" s="87" t="inlineStr">
        <is>
          <t>LUCAS SANTOS LEMOS</t>
        </is>
      </c>
      <c r="E610" s="87" t="inlineStr">
        <is>
          <t>Itaú</t>
        </is>
      </c>
      <c r="F610" s="87" t="inlineStr">
        <is>
          <t>Jacqueline</t>
        </is>
      </c>
      <c r="G610" s="87" t="inlineStr">
        <is>
          <t>F</t>
        </is>
      </c>
      <c r="H610" s="78" t="n">
        <v>5573991071934</v>
      </c>
      <c r="I610" s="87" t="inlineStr">
        <is>
          <t>Novo</t>
        </is>
      </c>
      <c r="J610" s="87" t="inlineStr">
        <is>
          <t>Na planilha</t>
        </is>
      </c>
      <c r="K610" s="60" t="n">
        <v>46151</v>
      </c>
      <c r="L610" s="87">
        <f>TEXT(A610,"mmmm")</f>
        <v/>
      </c>
    </row>
    <row r="611">
      <c r="A611" s="60" t="n">
        <v>46142</v>
      </c>
      <c r="B611" s="60" t="n">
        <v>46145</v>
      </c>
      <c r="C611" s="60" t="n">
        <v>46148</v>
      </c>
      <c r="D611" s="87" t="inlineStr">
        <is>
          <t>GILVAN MANOEL DOS SANTOS</t>
        </is>
      </c>
      <c r="E611" s="87" t="inlineStr">
        <is>
          <t>Suhai</t>
        </is>
      </c>
      <c r="F611" s="87" t="inlineStr">
        <is>
          <t>Jéssica</t>
        </is>
      </c>
      <c r="G611" s="87" t="inlineStr">
        <is>
          <t>F</t>
        </is>
      </c>
      <c r="H611" s="78" t="n">
        <v>5511998731479</v>
      </c>
      <c r="I611" s="87" t="inlineStr">
        <is>
          <t>Novo</t>
        </is>
      </c>
      <c r="J611" s="87" t="inlineStr">
        <is>
          <t>Assinado</t>
        </is>
      </c>
      <c r="K611" s="60" t="n">
        <v>46151</v>
      </c>
      <c r="L611" s="87">
        <f>TEXT(A611,"mmmm")</f>
        <v/>
      </c>
    </row>
    <row r="612">
      <c r="A612" s="60" t="n">
        <v>46142</v>
      </c>
      <c r="B612" s="60" t="n">
        <v>46145</v>
      </c>
      <c r="C612" s="60" t="n">
        <v>46148</v>
      </c>
      <c r="D612" s="87" t="inlineStr">
        <is>
          <t>DEMALCIR ALEXANDRE DA SILVA</t>
        </is>
      </c>
      <c r="E612" s="87" t="inlineStr">
        <is>
          <t>Porto</t>
        </is>
      </c>
      <c r="F612" s="87" t="inlineStr">
        <is>
          <t>John</t>
        </is>
      </c>
      <c r="G612" s="87" t="inlineStr">
        <is>
          <t>M</t>
        </is>
      </c>
      <c r="H612" s="78" t="n">
        <v>5511914812462</v>
      </c>
      <c r="I612" s="87" t="inlineStr">
        <is>
          <t>Renovação</t>
        </is>
      </c>
      <c r="J612" s="87" t="inlineStr">
        <is>
          <t>Na planilha</t>
        </is>
      </c>
      <c r="K612" s="60" t="n">
        <v>46151</v>
      </c>
      <c r="L612" s="87">
        <f>TEXT(A612,"mmmm")</f>
        <v/>
      </c>
    </row>
    <row r="613">
      <c r="A613" s="60" t="n">
        <v>46142</v>
      </c>
      <c r="B613" s="60" t="n">
        <v>46145</v>
      </c>
      <c r="C613" s="60" t="n">
        <v>46148</v>
      </c>
      <c r="D613" s="87" t="inlineStr">
        <is>
          <t>APARECIDA JOSE OLIBONI</t>
        </is>
      </c>
      <c r="E613" s="87" t="inlineStr">
        <is>
          <t>Porto</t>
        </is>
      </c>
      <c r="F613" s="87" t="inlineStr">
        <is>
          <t>John</t>
        </is>
      </c>
      <c r="G613" s="87" t="inlineStr">
        <is>
          <t>M</t>
        </is>
      </c>
      <c r="H613" s="78" t="n">
        <v>5511976937466</v>
      </c>
      <c r="I613" s="87" t="inlineStr">
        <is>
          <t>Renovação</t>
        </is>
      </c>
      <c r="J613" s="87" t="inlineStr">
        <is>
          <t>Na planilha</t>
        </is>
      </c>
      <c r="K613" s="60" t="n">
        <v>46151</v>
      </c>
      <c r="L613" s="87">
        <f>TEXT(A613,"mmmm")</f>
        <v/>
      </c>
    </row>
    <row r="614">
      <c r="A614" s="60" t="n">
        <v>46142</v>
      </c>
      <c r="B614" s="60" t="n">
        <v>46145</v>
      </c>
      <c r="C614" s="60" t="n">
        <v>46148</v>
      </c>
      <c r="D614" s="87" t="inlineStr">
        <is>
          <t>JOSE LIMA DA SILVA</t>
        </is>
      </c>
      <c r="E614" s="87" t="inlineStr">
        <is>
          <t>Tokio</t>
        </is>
      </c>
      <c r="F614" s="87" t="inlineStr">
        <is>
          <t>John</t>
        </is>
      </c>
      <c r="G614" s="87" t="inlineStr">
        <is>
          <t>M</t>
        </is>
      </c>
      <c r="H614" s="78" t="n">
        <v>5511948897829</v>
      </c>
      <c r="I614" s="87" t="inlineStr">
        <is>
          <t>Renovação</t>
        </is>
      </c>
      <c r="J614" s="87" t="inlineStr">
        <is>
          <t>Assinado</t>
        </is>
      </c>
      <c r="K614" s="60" t="n">
        <v>46151</v>
      </c>
      <c r="L614" s="87">
        <f>TEXT(A614,"mmmm")</f>
        <v/>
      </c>
    </row>
    <row r="615">
      <c r="A615" s="60" t="n">
        <v>46142</v>
      </c>
      <c r="B615" s="60" t="n">
        <v>46145</v>
      </c>
      <c r="C615" s="60" t="n">
        <v>46148</v>
      </c>
      <c r="D615" s="87" t="inlineStr">
        <is>
          <t>REINALDO DE SOUSA</t>
        </is>
      </c>
      <c r="E615" s="87" t="inlineStr">
        <is>
          <t>Azul</t>
        </is>
      </c>
      <c r="F615" s="87" t="inlineStr">
        <is>
          <t>Leticia</t>
        </is>
      </c>
      <c r="G615" s="87" t="inlineStr">
        <is>
          <t>F</t>
        </is>
      </c>
      <c r="H615" s="78" t="n">
        <v>5511967517887</v>
      </c>
      <c r="I615" s="87" t="inlineStr">
        <is>
          <t>Novo</t>
        </is>
      </c>
      <c r="J615" s="87" t="inlineStr">
        <is>
          <t>Assinado</t>
        </is>
      </c>
      <c r="K615" s="60" t="n">
        <v>46151</v>
      </c>
      <c r="L615" s="87">
        <f>TEXT(A615,"mmmm")</f>
        <v/>
      </c>
    </row>
    <row r="616">
      <c r="A616" s="60" t="n">
        <v>46142</v>
      </c>
      <c r="B616" s="60" t="n">
        <v>46145</v>
      </c>
      <c r="C616" s="60" t="n">
        <v>46148</v>
      </c>
      <c r="D616" s="87" t="inlineStr">
        <is>
          <t>JURAILTON SOUZA SANTOS</t>
        </is>
      </c>
      <c r="E616" s="87" t="inlineStr">
        <is>
          <t>Tokio</t>
        </is>
      </c>
      <c r="F616" s="87" t="inlineStr">
        <is>
          <t>Leticia</t>
        </is>
      </c>
      <c r="G616" s="87" t="inlineStr">
        <is>
          <t>F</t>
        </is>
      </c>
      <c r="H616" s="78" t="n">
        <v>5511982144615</v>
      </c>
      <c r="I616" s="87" t="inlineStr">
        <is>
          <t>Novo</t>
        </is>
      </c>
      <c r="J616" s="87" t="inlineStr">
        <is>
          <t>Assinado</t>
        </is>
      </c>
      <c r="K616" s="60" t="n">
        <v>46151</v>
      </c>
      <c r="L616" s="87">
        <f>TEXT(A616,"mmmm")</f>
        <v/>
      </c>
    </row>
    <row r="617">
      <c r="A617" s="60" t="n">
        <v>46142</v>
      </c>
      <c r="B617" s="60" t="n">
        <v>46145</v>
      </c>
      <c r="C617" s="60" t="n">
        <v>46148</v>
      </c>
      <c r="D617" s="87" t="inlineStr">
        <is>
          <t>ROMULO CESAR FERNANDES</t>
        </is>
      </c>
      <c r="E617" s="87" t="inlineStr">
        <is>
          <t>Porto</t>
        </is>
      </c>
      <c r="F617" s="87" t="inlineStr">
        <is>
          <t>John</t>
        </is>
      </c>
      <c r="G617" s="87" t="inlineStr">
        <is>
          <t>M</t>
        </is>
      </c>
      <c r="H617" s="78" t="n">
        <v>5511992620363</v>
      </c>
      <c r="I617" s="87" t="inlineStr">
        <is>
          <t>Novo</t>
        </is>
      </c>
      <c r="J617" s="87" t="inlineStr">
        <is>
          <t>Assinado</t>
        </is>
      </c>
      <c r="K617" s="60" t="n">
        <v>46151</v>
      </c>
      <c r="L617" s="87">
        <f>TEXT(A617,"mmmm")</f>
        <v/>
      </c>
    </row>
    <row r="618">
      <c r="A618" s="60" t="n">
        <v>46146</v>
      </c>
      <c r="B618" s="60" t="n">
        <v>46149</v>
      </c>
      <c r="C618" s="60" t="n">
        <v>46152</v>
      </c>
      <c r="D618" s="87" t="inlineStr">
        <is>
          <t>MARCIO ANTONIO LOURENCINI</t>
        </is>
      </c>
      <c r="E618" s="87" t="inlineStr">
        <is>
          <t>Porto</t>
        </is>
      </c>
      <c r="F618" s="87" t="inlineStr">
        <is>
          <t>Leticia</t>
        </is>
      </c>
      <c r="G618" s="87" t="inlineStr">
        <is>
          <t>F</t>
        </is>
      </c>
      <c r="H618" s="78" t="n">
        <v>5516992614455</v>
      </c>
      <c r="I618" s="87" t="inlineStr">
        <is>
          <t>Novo</t>
        </is>
      </c>
      <c r="J618" s="87" t="inlineStr">
        <is>
          <t>Erro</t>
        </is>
      </c>
      <c r="K618" s="60" t="n">
        <v>46155</v>
      </c>
      <c r="L618" s="87">
        <f>TEXT(A618,"mmmm")</f>
        <v/>
      </c>
    </row>
    <row r="619">
      <c r="A619" s="60" t="n">
        <v>46146</v>
      </c>
      <c r="B619" s="60" t="n">
        <v>46149</v>
      </c>
      <c r="C619" s="60" t="n">
        <v>46152</v>
      </c>
      <c r="D619" s="87" t="inlineStr">
        <is>
          <t>JOSE GERALDO BARBOSA DE JESUS</t>
        </is>
      </c>
      <c r="E619" s="87" t="inlineStr">
        <is>
          <t>Porto</t>
        </is>
      </c>
      <c r="F619" s="87" t="inlineStr">
        <is>
          <t>John</t>
        </is>
      </c>
      <c r="G619" s="87" t="inlineStr">
        <is>
          <t>M</t>
        </is>
      </c>
      <c r="H619" s="78" t="n">
        <v>5561992437478</v>
      </c>
      <c r="I619" s="87" t="inlineStr">
        <is>
          <t>Novo</t>
        </is>
      </c>
      <c r="J619" s="87" t="inlineStr">
        <is>
          <t>Na planilha</t>
        </is>
      </c>
      <c r="K619" s="60" t="n">
        <v>46155</v>
      </c>
      <c r="L619" s="87">
        <f>TEXT(A619,"mmmm")</f>
        <v/>
      </c>
    </row>
    <row r="620">
      <c r="A620" s="60" t="n">
        <v>46146</v>
      </c>
      <c r="B620" s="60" t="n">
        <v>46149</v>
      </c>
      <c r="C620" s="60" t="n">
        <v>46152</v>
      </c>
      <c r="D620" s="87" t="inlineStr">
        <is>
          <t>VANIA APARECIDA DA SILVA SANCHES</t>
        </is>
      </c>
      <c r="E620" s="87" t="inlineStr">
        <is>
          <t>Azul</t>
        </is>
      </c>
      <c r="F620" s="87" t="inlineStr">
        <is>
          <t>Jacqueline</t>
        </is>
      </c>
      <c r="G620" s="87" t="inlineStr">
        <is>
          <t>F</t>
        </is>
      </c>
      <c r="H620" s="78" t="n">
        <v>5511947427134</v>
      </c>
      <c r="I620" s="87" t="inlineStr">
        <is>
          <t>Novo</t>
        </is>
      </c>
      <c r="J620" s="87" t="inlineStr">
        <is>
          <t>Na planilha</t>
        </is>
      </c>
      <c r="K620" s="60" t="n">
        <v>46155</v>
      </c>
      <c r="L620" s="87">
        <f>TEXT(A620,"mmmm")</f>
        <v/>
      </c>
    </row>
    <row r="621">
      <c r="A621" s="60" t="n">
        <v>46146</v>
      </c>
      <c r="B621" s="60" t="n">
        <v>46149</v>
      </c>
      <c r="C621" s="60" t="n">
        <v>46152</v>
      </c>
      <c r="D621" s="87" t="inlineStr">
        <is>
          <t>DAVI PEREIRA GOMES</t>
        </is>
      </c>
      <c r="E621" s="87" t="inlineStr">
        <is>
          <t>Tokio</t>
        </is>
      </c>
      <c r="F621" s="87" t="inlineStr">
        <is>
          <t>Leticia</t>
        </is>
      </c>
      <c r="G621" s="87" t="inlineStr">
        <is>
          <t>F</t>
        </is>
      </c>
      <c r="H621" s="78" t="n">
        <v>5511988335727</v>
      </c>
      <c r="I621" s="87" t="inlineStr">
        <is>
          <t>Novo</t>
        </is>
      </c>
      <c r="J621" s="87" t="inlineStr">
        <is>
          <t>Assinado</t>
        </is>
      </c>
      <c r="K621" s="60" t="n">
        <v>46155</v>
      </c>
      <c r="L621" s="87">
        <f>TEXT(A621,"mmmm")</f>
        <v/>
      </c>
    </row>
    <row r="622">
      <c r="A622" s="60" t="n">
        <v>46146</v>
      </c>
      <c r="B622" s="60" t="n">
        <v>46149</v>
      </c>
      <c r="C622" s="60" t="n">
        <v>46152</v>
      </c>
      <c r="D622" s="87" t="inlineStr">
        <is>
          <t>MARILENE LIMA PASSARINHO</t>
        </is>
      </c>
      <c r="E622" s="87" t="inlineStr">
        <is>
          <t>Tokio</t>
        </is>
      </c>
      <c r="F622" s="87" t="inlineStr">
        <is>
          <t>John</t>
        </is>
      </c>
      <c r="G622" s="87" t="inlineStr">
        <is>
          <t>M</t>
        </is>
      </c>
      <c r="H622" s="78" t="n">
        <v>5511995282049</v>
      </c>
      <c r="I622" s="87" t="inlineStr">
        <is>
          <t>Novo</t>
        </is>
      </c>
      <c r="J622" s="87" t="inlineStr">
        <is>
          <t>Na planilha</t>
        </is>
      </c>
      <c r="K622" s="60" t="n">
        <v>46155</v>
      </c>
      <c r="L622" s="87">
        <f>TEXT(A622,"mmmm")</f>
        <v/>
      </c>
    </row>
    <row r="623">
      <c r="A623" s="60" t="n">
        <v>46146</v>
      </c>
      <c r="B623" s="60" t="n">
        <v>46149</v>
      </c>
      <c r="C623" s="60" t="n">
        <v>46152</v>
      </c>
      <c r="D623" s="87" t="inlineStr">
        <is>
          <t>JOSE RICARDO DA SILVA</t>
        </is>
      </c>
      <c r="E623" s="87" t="inlineStr">
        <is>
          <t>Tokio</t>
        </is>
      </c>
      <c r="F623" s="87" t="inlineStr">
        <is>
          <t>Leticia</t>
        </is>
      </c>
      <c r="G623" s="87" t="inlineStr">
        <is>
          <t>F</t>
        </is>
      </c>
      <c r="H623" s="78" t="n">
        <v>5511980670652</v>
      </c>
      <c r="I623" s="87" t="inlineStr">
        <is>
          <t>Renovação</t>
        </is>
      </c>
      <c r="J623" s="87" t="inlineStr">
        <is>
          <t>Assinado</t>
        </is>
      </c>
      <c r="K623" s="60" t="n">
        <v>46155</v>
      </c>
      <c r="L623" s="87">
        <f>TEXT(A623,"mmmm")</f>
        <v/>
      </c>
    </row>
    <row r="624">
      <c r="A624" s="60" t="n">
        <v>46147</v>
      </c>
      <c r="B624" s="60" t="n">
        <v>46150</v>
      </c>
      <c r="C624" s="60" t="n">
        <v>46153</v>
      </c>
      <c r="D624" s="87" t="inlineStr">
        <is>
          <t>ANA ROSA BERNARDINO PEIGO</t>
        </is>
      </c>
      <c r="E624" s="87" t="inlineStr">
        <is>
          <t>Azul</t>
        </is>
      </c>
      <c r="F624" s="87" t="inlineStr">
        <is>
          <t>Isabella</t>
        </is>
      </c>
      <c r="G624" s="87" t="inlineStr">
        <is>
          <t>F</t>
        </is>
      </c>
      <c r="H624" s="78" t="n">
        <v>5511993084663</v>
      </c>
      <c r="I624" s="87" t="inlineStr">
        <is>
          <t>Novo</t>
        </is>
      </c>
      <c r="J624" s="87" t="inlineStr">
        <is>
          <t>Na planilha</t>
        </is>
      </c>
      <c r="K624" s="60" t="n">
        <v>46156</v>
      </c>
      <c r="L624" s="87">
        <f>TEXT(A624,"mmmm")</f>
        <v/>
      </c>
    </row>
    <row r="625">
      <c r="A625" s="60" t="n">
        <v>46147</v>
      </c>
      <c r="B625" s="60" t="n">
        <v>46150</v>
      </c>
      <c r="C625" s="60" t="n">
        <v>46153</v>
      </c>
      <c r="D625" s="87" t="inlineStr">
        <is>
          <t>FLAVIO ALVES DAS CHAGAS</t>
        </is>
      </c>
      <c r="E625" s="87" t="inlineStr">
        <is>
          <t>Azul</t>
        </is>
      </c>
      <c r="F625" s="87" t="inlineStr">
        <is>
          <t>Jacqueline</t>
        </is>
      </c>
      <c r="G625" s="87" t="inlineStr">
        <is>
          <t>F</t>
        </is>
      </c>
      <c r="H625" s="78" t="n">
        <v>5544999649677</v>
      </c>
      <c r="I625" s="87" t="inlineStr">
        <is>
          <t>Novo</t>
        </is>
      </c>
      <c r="J625" s="87" t="inlineStr">
        <is>
          <t>Cancelado</t>
        </is>
      </c>
      <c r="K625" s="60" t="n">
        <v>46156</v>
      </c>
      <c r="L625" s="87">
        <f>TEXT(A625,"mmmm")</f>
        <v/>
      </c>
    </row>
    <row r="626">
      <c r="A626" s="60" t="n">
        <v>46147</v>
      </c>
      <c r="B626" s="60" t="n">
        <v>46150</v>
      </c>
      <c r="C626" s="60" t="n">
        <v>46153</v>
      </c>
      <c r="D626" s="87" t="inlineStr">
        <is>
          <t>DIOGO BRUNO OLIVEIRA SILVA</t>
        </is>
      </c>
      <c r="E626" s="87" t="inlineStr">
        <is>
          <t>Tokio</t>
        </is>
      </c>
      <c r="F626" s="87" t="inlineStr">
        <is>
          <t>Leticia</t>
        </is>
      </c>
      <c r="G626" s="87" t="inlineStr">
        <is>
          <t>F</t>
        </is>
      </c>
      <c r="H626" s="78" t="n">
        <v>551954480246</v>
      </c>
      <c r="I626" s="87" t="inlineStr">
        <is>
          <t>Novo</t>
        </is>
      </c>
      <c r="J626" s="87" t="inlineStr">
        <is>
          <t>Assinado</t>
        </is>
      </c>
      <c r="K626" s="60" t="n">
        <v>46156</v>
      </c>
      <c r="L626" s="87">
        <f>TEXT(A626,"mmmm")</f>
        <v/>
      </c>
    </row>
    <row r="627">
      <c r="A627" s="60" t="n">
        <v>46147</v>
      </c>
      <c r="B627" s="60" t="n">
        <v>46150</v>
      </c>
      <c r="C627" s="60" t="n">
        <v>46153</v>
      </c>
      <c r="D627" s="87" t="inlineStr">
        <is>
          <t>BRUNNO YUJI ARANAGA</t>
        </is>
      </c>
      <c r="E627" s="87" t="inlineStr">
        <is>
          <t>Azul</t>
        </is>
      </c>
      <c r="F627" s="87" t="inlineStr">
        <is>
          <t>Leticia</t>
        </is>
      </c>
      <c r="G627" s="87" t="inlineStr">
        <is>
          <t>F</t>
        </is>
      </c>
      <c r="H627" s="78" t="n">
        <v>5511978383346</v>
      </c>
      <c r="I627" s="87" t="inlineStr">
        <is>
          <t>Novo</t>
        </is>
      </c>
      <c r="J627" s="87" t="inlineStr">
        <is>
          <t>Assinado</t>
        </is>
      </c>
      <c r="K627" s="60" t="n">
        <v>46156</v>
      </c>
      <c r="L627" s="87">
        <f>TEXT(A627,"mmmm")</f>
        <v/>
      </c>
    </row>
    <row r="628">
      <c r="A628" s="60" t="n">
        <v>46147</v>
      </c>
      <c r="B628" s="60" t="n">
        <v>46150</v>
      </c>
      <c r="C628" s="60" t="n">
        <v>46153</v>
      </c>
      <c r="D628" s="87" t="inlineStr">
        <is>
          <t>DAIANA ARAUJO DE MACEDO</t>
        </is>
      </c>
      <c r="E628" s="87" t="inlineStr">
        <is>
          <t>Tokio</t>
        </is>
      </c>
      <c r="F628" s="87" t="inlineStr">
        <is>
          <t>Leticia</t>
        </is>
      </c>
      <c r="G628" s="87" t="inlineStr">
        <is>
          <t>F</t>
        </is>
      </c>
      <c r="H628" s="78" t="n">
        <v>5511981686644</v>
      </c>
      <c r="I628" s="87" t="inlineStr">
        <is>
          <t>Novo</t>
        </is>
      </c>
      <c r="J628" s="87" t="inlineStr">
        <is>
          <t>Assinado</t>
        </is>
      </c>
      <c r="K628" s="60" t="n">
        <v>46156</v>
      </c>
      <c r="L628" s="87">
        <f>TEXT(A628,"mmmm")</f>
        <v/>
      </c>
    </row>
    <row r="629">
      <c r="A629" s="60" t="n">
        <v>46147</v>
      </c>
      <c r="B629" s="60" t="n">
        <v>46150</v>
      </c>
      <c r="C629" s="60" t="n">
        <v>46153</v>
      </c>
      <c r="D629" s="87" t="inlineStr">
        <is>
          <t>FERNANDA APARECIDA COSTA</t>
        </is>
      </c>
      <c r="E629" s="87" t="inlineStr">
        <is>
          <t>Azul</t>
        </is>
      </c>
      <c r="F629" s="87" t="inlineStr">
        <is>
          <t>Enzo</t>
        </is>
      </c>
      <c r="G629" s="87" t="inlineStr">
        <is>
          <t>M</t>
        </is>
      </c>
      <c r="H629" s="78" t="n">
        <v>5511987770227</v>
      </c>
      <c r="I629" s="87" t="inlineStr">
        <is>
          <t>Novo</t>
        </is>
      </c>
      <c r="J629" s="87" t="inlineStr">
        <is>
          <t>Assinado</t>
        </is>
      </c>
      <c r="K629" s="60" t="n">
        <v>46156</v>
      </c>
      <c r="L629" s="87">
        <f>TEXT(A629,"mmmm")</f>
        <v/>
      </c>
    </row>
    <row r="630">
      <c r="A630" s="60" t="n">
        <v>46147</v>
      </c>
      <c r="B630" s="60" t="n">
        <v>46150</v>
      </c>
      <c r="C630" s="60" t="n">
        <v>46153</v>
      </c>
      <c r="D630" s="87" t="inlineStr">
        <is>
          <t>SANDRA APARECIDA LEME</t>
        </is>
      </c>
      <c r="E630" s="87" t="inlineStr">
        <is>
          <t>Tokio</t>
        </is>
      </c>
      <c r="F630" s="87" t="inlineStr">
        <is>
          <t>Enzo</t>
        </is>
      </c>
      <c r="G630" s="87" t="inlineStr">
        <is>
          <t>M</t>
        </is>
      </c>
      <c r="H630" s="78" t="n">
        <v>5511972455149</v>
      </c>
      <c r="I630" s="87" t="inlineStr">
        <is>
          <t>Novo</t>
        </is>
      </c>
      <c r="J630" s="87" t="inlineStr">
        <is>
          <t>Assinado</t>
        </is>
      </c>
      <c r="K630" s="60" t="n">
        <v>46156</v>
      </c>
      <c r="L630" s="87">
        <f>TEXT(A630,"mmmm")</f>
        <v/>
      </c>
    </row>
    <row r="631">
      <c r="A631" s="60" t="n">
        <v>46147</v>
      </c>
      <c r="B631" s="60" t="n">
        <v>46150</v>
      </c>
      <c r="C631" s="60" t="n">
        <v>46153</v>
      </c>
      <c r="D631" s="87" t="inlineStr">
        <is>
          <t>GIOVANNA FERNANDES VIEIRA</t>
        </is>
      </c>
      <c r="E631" s="87" t="inlineStr">
        <is>
          <t>Mapfre</t>
        </is>
      </c>
      <c r="F631" s="87" t="inlineStr">
        <is>
          <t>John</t>
        </is>
      </c>
      <c r="G631" s="87" t="inlineStr">
        <is>
          <t>M</t>
        </is>
      </c>
      <c r="H631" s="78" t="n">
        <v>5511977500294</v>
      </c>
      <c r="I631" s="87" t="inlineStr">
        <is>
          <t>Novo</t>
        </is>
      </c>
      <c r="J631" s="87" t="inlineStr">
        <is>
          <t>Assinado</t>
        </is>
      </c>
      <c r="K631" s="60" t="n">
        <v>46156</v>
      </c>
      <c r="L631" s="87">
        <f>TEXT(A631,"mmmm")</f>
        <v/>
      </c>
    </row>
    <row r="632">
      <c r="A632" s="60" t="n">
        <v>46147</v>
      </c>
      <c r="B632" s="60" t="n">
        <v>46150</v>
      </c>
      <c r="C632" s="60" t="n">
        <v>46153</v>
      </c>
      <c r="D632" s="87" t="inlineStr">
        <is>
          <t>ALBERTO DE ALMEIDA</t>
        </is>
      </c>
      <c r="E632" s="87" t="inlineStr">
        <is>
          <t>Azul</t>
        </is>
      </c>
      <c r="F632" s="87" t="inlineStr">
        <is>
          <t>John</t>
        </is>
      </c>
      <c r="G632" s="87" t="inlineStr">
        <is>
          <t>M</t>
        </is>
      </c>
      <c r="H632" s="78" t="n">
        <v>5511971236183</v>
      </c>
      <c r="I632" s="87" t="inlineStr">
        <is>
          <t>Novo</t>
        </is>
      </c>
      <c r="J632" s="87" t="inlineStr">
        <is>
          <t>Assinado</t>
        </is>
      </c>
      <c r="K632" s="60" t="n">
        <v>46156</v>
      </c>
      <c r="L632" s="87">
        <f>TEXT(A632,"mmmm")</f>
        <v/>
      </c>
    </row>
    <row r="633">
      <c r="A633" s="60" t="n">
        <v>46148</v>
      </c>
      <c r="B633" s="60" t="n">
        <v>46151</v>
      </c>
      <c r="C633" s="60" t="n">
        <v>46154</v>
      </c>
      <c r="D633" s="87" t="inlineStr">
        <is>
          <t>MARANICE APARECIDA DE GODOI DA SILVA</t>
        </is>
      </c>
      <c r="E633" s="87" t="inlineStr">
        <is>
          <t>Azul</t>
        </is>
      </c>
      <c r="F633" s="87" t="inlineStr">
        <is>
          <t>Isabella</t>
        </is>
      </c>
      <c r="G633" s="87" t="inlineStr">
        <is>
          <t>F</t>
        </is>
      </c>
      <c r="H633" s="78" t="n">
        <v>5511973213263</v>
      </c>
      <c r="I633" s="87" t="inlineStr">
        <is>
          <t>Novo</t>
        </is>
      </c>
      <c r="J633" s="87" t="inlineStr">
        <is>
          <t>Na planilha</t>
        </is>
      </c>
      <c r="K633" s="60" t="n">
        <v>46157</v>
      </c>
      <c r="L633" s="87">
        <f>TEXT(A633,"mmmm")</f>
        <v/>
      </c>
    </row>
    <row r="634">
      <c r="A634" s="60" t="n">
        <v>46148</v>
      </c>
      <c r="B634" s="60" t="n">
        <v>46151</v>
      </c>
      <c r="C634" s="60" t="n">
        <v>46154</v>
      </c>
      <c r="D634" s="87" t="inlineStr">
        <is>
          <t>DANIEL DOS SANTOS ANTUNES</t>
        </is>
      </c>
      <c r="E634" s="87" t="inlineStr">
        <is>
          <t>Tokio</t>
        </is>
      </c>
      <c r="F634" s="87" t="inlineStr">
        <is>
          <t>Jéssica</t>
        </is>
      </c>
      <c r="G634" s="87" t="inlineStr">
        <is>
          <t>F</t>
        </is>
      </c>
      <c r="H634" s="78" t="n">
        <v>5512996466195</v>
      </c>
      <c r="I634" s="87" t="inlineStr">
        <is>
          <t>Novo</t>
        </is>
      </c>
      <c r="J634" s="87" t="inlineStr">
        <is>
          <t>Assinado</t>
        </is>
      </c>
      <c r="K634" s="60" t="n">
        <v>46157</v>
      </c>
      <c r="L634" s="87">
        <f>TEXT(A634,"mmmm")</f>
        <v/>
      </c>
    </row>
    <row r="635">
      <c r="A635" s="60" t="n">
        <v>46148</v>
      </c>
      <c r="B635" s="60" t="n">
        <v>46151</v>
      </c>
      <c r="C635" s="60" t="n">
        <v>46154</v>
      </c>
      <c r="D635" s="87" t="inlineStr">
        <is>
          <t>FABIO REBOUCAS SENNA</t>
        </is>
      </c>
      <c r="E635" s="87" t="inlineStr">
        <is>
          <t>Azul</t>
        </is>
      </c>
      <c r="F635" s="87" t="inlineStr">
        <is>
          <t>John</t>
        </is>
      </c>
      <c r="G635" s="87" t="inlineStr">
        <is>
          <t>M</t>
        </is>
      </c>
      <c r="H635" s="78" t="n">
        <v>5513981371975</v>
      </c>
      <c r="I635" s="87" t="inlineStr">
        <is>
          <t>Novo</t>
        </is>
      </c>
      <c r="J635" s="87" t="inlineStr">
        <is>
          <t>Assinado</t>
        </is>
      </c>
      <c r="K635" s="60" t="n">
        <v>46157</v>
      </c>
      <c r="L635" s="87">
        <f>TEXT(A635,"mmmm")</f>
        <v/>
      </c>
    </row>
    <row r="636">
      <c r="A636" s="60" t="n">
        <v>46148</v>
      </c>
      <c r="B636" s="60" t="n">
        <v>46151</v>
      </c>
      <c r="C636" s="60" t="n">
        <v>46154</v>
      </c>
      <c r="D636" s="87" t="inlineStr">
        <is>
          <t>GIVANILDO NASCIMENTO DA SILVA</t>
        </is>
      </c>
      <c r="E636" s="87" t="inlineStr">
        <is>
          <t>Suhai</t>
        </is>
      </c>
      <c r="F636" s="87" t="inlineStr">
        <is>
          <t>John</t>
        </is>
      </c>
      <c r="G636" s="87" t="inlineStr">
        <is>
          <t>M</t>
        </is>
      </c>
      <c r="H636" s="78" t="n">
        <v>5511953447108</v>
      </c>
      <c r="I636" s="87" t="inlineStr">
        <is>
          <t>Novo</t>
        </is>
      </c>
      <c r="J636" s="87" t="inlineStr">
        <is>
          <t>Assinado</t>
        </is>
      </c>
      <c r="K636" s="60" t="n">
        <v>46157</v>
      </c>
      <c r="L636" s="87">
        <f>TEXT(A636,"mmmm")</f>
        <v/>
      </c>
    </row>
    <row r="637">
      <c r="A637" s="60" t="n">
        <v>46148</v>
      </c>
      <c r="B637" s="60" t="n">
        <v>46151</v>
      </c>
      <c r="C637" s="60" t="n">
        <v>46154</v>
      </c>
      <c r="D637" s="87" t="inlineStr">
        <is>
          <t>JOSE CARLOS NOGUEIRA</t>
        </is>
      </c>
      <c r="E637" s="87" t="inlineStr">
        <is>
          <t>Bradesco</t>
        </is>
      </c>
      <c r="F637" s="87" t="inlineStr">
        <is>
          <t>Leticia</t>
        </is>
      </c>
      <c r="G637" s="87" t="inlineStr">
        <is>
          <t>F</t>
        </is>
      </c>
      <c r="H637" s="78" t="n">
        <v>5511983757324</v>
      </c>
      <c r="I637" s="87" t="inlineStr">
        <is>
          <t>Novo</t>
        </is>
      </c>
      <c r="J637" s="87" t="inlineStr">
        <is>
          <t>Assinado</t>
        </is>
      </c>
      <c r="K637" s="60" t="n">
        <v>46157</v>
      </c>
      <c r="L637" s="87">
        <f>TEXT(A637,"mmmm")</f>
        <v/>
      </c>
    </row>
    <row r="638">
      <c r="A638" s="60" t="n">
        <v>46148</v>
      </c>
      <c r="B638" s="60" t="n">
        <v>46151</v>
      </c>
      <c r="C638" s="60" t="n">
        <v>46154</v>
      </c>
      <c r="D638" s="87" t="inlineStr">
        <is>
          <t>SUELI APARECIDA MARCON FERREIRA</t>
        </is>
      </c>
      <c r="E638" s="87" t="inlineStr">
        <is>
          <t>Azul</t>
        </is>
      </c>
      <c r="F638" s="87" t="inlineStr">
        <is>
          <t>Leticia</t>
        </is>
      </c>
      <c r="G638" s="87" t="inlineStr">
        <is>
          <t>F</t>
        </is>
      </c>
      <c r="H638" s="78" t="n">
        <v>5511933767433</v>
      </c>
      <c r="I638" s="87" t="inlineStr">
        <is>
          <t>Novo</t>
        </is>
      </c>
      <c r="J638" s="87" t="inlineStr">
        <is>
          <t>Assinado</t>
        </is>
      </c>
      <c r="K638" s="60" t="n">
        <v>46157</v>
      </c>
      <c r="L638" s="87">
        <f>TEXT(A638,"mmmm")</f>
        <v/>
      </c>
    </row>
    <row r="639">
      <c r="A639" s="60" t="n">
        <v>46148</v>
      </c>
      <c r="B639" s="60" t="n">
        <v>46151</v>
      </c>
      <c r="C639" s="60" t="n">
        <v>46154</v>
      </c>
      <c r="D639" s="87" t="inlineStr">
        <is>
          <t>SERGIO YOSCHIHARO NAGASSE</t>
        </is>
      </c>
      <c r="E639" s="87" t="inlineStr">
        <is>
          <t>Porto</t>
        </is>
      </c>
      <c r="F639" s="87" t="inlineStr">
        <is>
          <t>Leticia</t>
        </is>
      </c>
      <c r="G639" s="87" t="inlineStr">
        <is>
          <t>F</t>
        </is>
      </c>
      <c r="H639" s="78" t="n">
        <v>5519988389350</v>
      </c>
      <c r="I639" s="87" t="inlineStr">
        <is>
          <t>Renovação</t>
        </is>
      </c>
      <c r="J639" s="87" t="inlineStr">
        <is>
          <t>Assinado</t>
        </is>
      </c>
      <c r="K639" s="60" t="n">
        <v>46157</v>
      </c>
      <c r="L639" s="87">
        <f>TEXT(A639,"mmmm")</f>
        <v/>
      </c>
    </row>
    <row r="640">
      <c r="A640" s="60" t="n">
        <v>46148</v>
      </c>
      <c r="B640" s="60" t="n">
        <v>46151</v>
      </c>
      <c r="C640" s="60" t="n">
        <v>46154</v>
      </c>
      <c r="D640" s="87" t="inlineStr">
        <is>
          <t>JONATAS ROBERTO ARRESUELO MUNHOZ</t>
        </is>
      </c>
      <c r="E640" s="87" t="inlineStr">
        <is>
          <t>Suhai</t>
        </is>
      </c>
      <c r="F640" s="87" t="inlineStr">
        <is>
          <t>Enzo</t>
        </is>
      </c>
      <c r="G640" s="87" t="inlineStr">
        <is>
          <t>M</t>
        </is>
      </c>
      <c r="H640" s="78" t="n">
        <v>5511975325690</v>
      </c>
      <c r="I640" s="87" t="inlineStr">
        <is>
          <t>Novo</t>
        </is>
      </c>
      <c r="J640" s="87" t="inlineStr">
        <is>
          <t>Na planilha</t>
        </is>
      </c>
      <c r="K640" s="60" t="n">
        <v>46157</v>
      </c>
      <c r="L640" s="87">
        <f>TEXT(A640,"mmmm")</f>
        <v/>
      </c>
    </row>
    <row r="641">
      <c r="A641" s="60" t="n">
        <v>46148</v>
      </c>
      <c r="B641" s="60" t="n">
        <v>46151</v>
      </c>
      <c r="C641" s="60" t="n">
        <v>46154</v>
      </c>
      <c r="D641" s="87" t="inlineStr">
        <is>
          <t xml:space="preserve">ISABELLA VICENTE MOURA </t>
        </is>
      </c>
      <c r="E641" s="87" t="inlineStr">
        <is>
          <t>Tokio</t>
        </is>
      </c>
      <c r="F641" s="87" t="inlineStr">
        <is>
          <t>Enzo</t>
        </is>
      </c>
      <c r="G641" s="87" t="inlineStr">
        <is>
          <t>M</t>
        </is>
      </c>
      <c r="H641" s="78" t="n">
        <v>5511987174110</v>
      </c>
      <c r="I641" s="87" t="inlineStr">
        <is>
          <t>Novo</t>
        </is>
      </c>
      <c r="J641" s="87" t="inlineStr">
        <is>
          <t>Assinado</t>
        </is>
      </c>
      <c r="K641" s="60" t="n">
        <v>46157</v>
      </c>
      <c r="L641" s="87">
        <f>TEXT(A641,"mmmm")</f>
        <v/>
      </c>
    </row>
    <row r="642">
      <c r="A642" s="60" t="n">
        <v>46148</v>
      </c>
      <c r="B642" s="60" t="n">
        <v>46151</v>
      </c>
      <c r="C642" s="60" t="n">
        <v>46154</v>
      </c>
      <c r="D642" s="87" t="inlineStr">
        <is>
          <t>JUREMA MARTINS COELHO DE LIMA</t>
        </is>
      </c>
      <c r="E642" s="87" t="inlineStr">
        <is>
          <t>Azul</t>
        </is>
      </c>
      <c r="F642" s="87" t="inlineStr">
        <is>
          <t>Jacqueline</t>
        </is>
      </c>
      <c r="G642" s="87" t="inlineStr">
        <is>
          <t>F</t>
        </is>
      </c>
      <c r="H642" s="78" t="n">
        <v>5511950193170</v>
      </c>
      <c r="I642" s="87" t="inlineStr">
        <is>
          <t>Novo</t>
        </is>
      </c>
      <c r="J642" s="87" t="inlineStr">
        <is>
          <t>Assinado</t>
        </is>
      </c>
      <c r="K642" s="60" t="n">
        <v>46157</v>
      </c>
      <c r="L642" s="87">
        <f>TEXT(A642,"mmmm")</f>
        <v/>
      </c>
    </row>
    <row r="643">
      <c r="A643" s="60" t="n">
        <v>46148</v>
      </c>
      <c r="B643" s="60" t="n">
        <v>46151</v>
      </c>
      <c r="C643" s="60" t="n">
        <v>46154</v>
      </c>
      <c r="D643" s="87" t="inlineStr">
        <is>
          <t>CLEIGEAN FRANCA DE MENEZES</t>
        </is>
      </c>
      <c r="E643" s="87" t="inlineStr">
        <is>
          <t>Tokio</t>
        </is>
      </c>
      <c r="F643" s="87" t="inlineStr">
        <is>
          <t>John</t>
        </is>
      </c>
      <c r="G643" s="87" t="inlineStr">
        <is>
          <t>M</t>
        </is>
      </c>
      <c r="H643" s="78" t="n">
        <v>5511947727467</v>
      </c>
      <c r="I643" s="87" t="inlineStr">
        <is>
          <t>Renovação</t>
        </is>
      </c>
      <c r="J643" s="87" t="inlineStr">
        <is>
          <t>Assinado</t>
        </is>
      </c>
      <c r="K643" s="60" t="n">
        <v>46157</v>
      </c>
      <c r="L643" s="87">
        <f>TEXT(A643,"mmmm")</f>
        <v/>
      </c>
    </row>
    <row r="644">
      <c r="A644" s="60" t="n">
        <v>46148</v>
      </c>
      <c r="B644" s="60" t="n">
        <v>46151</v>
      </c>
      <c r="C644" s="60" t="n">
        <v>46154</v>
      </c>
      <c r="D644" s="87" t="inlineStr">
        <is>
          <t>DENISE APARECIDA DE ANDRADE</t>
        </is>
      </c>
      <c r="E644" s="87" t="inlineStr">
        <is>
          <t>Porto</t>
        </is>
      </c>
      <c r="F644" s="87" t="inlineStr">
        <is>
          <t>John</t>
        </is>
      </c>
      <c r="G644" s="87" t="inlineStr">
        <is>
          <t>M</t>
        </is>
      </c>
      <c r="H644" s="78" t="n">
        <v>5511991764374</v>
      </c>
      <c r="I644" s="87" t="inlineStr">
        <is>
          <t>Renovação</t>
        </is>
      </c>
      <c r="J644" s="87" t="inlineStr">
        <is>
          <t>Na planilha</t>
        </is>
      </c>
      <c r="K644" s="60" t="n">
        <v>46157</v>
      </c>
      <c r="L644" s="87">
        <f>TEXT(A644,"mmmm")</f>
        <v/>
      </c>
    </row>
    <row r="645">
      <c r="A645" s="60" t="n">
        <v>46148</v>
      </c>
      <c r="B645" s="60" t="n">
        <v>46151</v>
      </c>
      <c r="C645" s="60" t="n">
        <v>46154</v>
      </c>
      <c r="D645" s="87" t="inlineStr">
        <is>
          <t>URANIA SILVA COELHO</t>
        </is>
      </c>
      <c r="E645" s="87" t="inlineStr">
        <is>
          <t>Mapfre</t>
        </is>
      </c>
      <c r="F645" s="87" t="inlineStr">
        <is>
          <t>Myrelle</t>
        </is>
      </c>
      <c r="G645" s="87" t="inlineStr">
        <is>
          <t>F</t>
        </is>
      </c>
      <c r="H645" s="78" t="n">
        <v>5561998076287</v>
      </c>
      <c r="I645" s="87" t="inlineStr">
        <is>
          <t>Novo</t>
        </is>
      </c>
      <c r="J645" s="87" t="inlineStr">
        <is>
          <t>Assinado</t>
        </is>
      </c>
      <c r="K645" s="60" t="n">
        <v>46157</v>
      </c>
      <c r="L645" s="87">
        <f>TEXT(A645,"mmmm")</f>
        <v/>
      </c>
    </row>
    <row r="646">
      <c r="A646" s="60" t="n">
        <v>46148</v>
      </c>
      <c r="B646" s="60" t="n">
        <v>46151</v>
      </c>
      <c r="C646" s="60" t="n">
        <v>46154</v>
      </c>
      <c r="D646" s="87" t="inlineStr">
        <is>
          <t>ADEVALDO TUPINAMBA DE SOUZA</t>
        </is>
      </c>
      <c r="E646" s="87" t="inlineStr">
        <is>
          <t>Porto</t>
        </is>
      </c>
      <c r="F646" s="87" t="inlineStr">
        <is>
          <t>Leticia</t>
        </is>
      </c>
      <c r="G646" s="87" t="inlineStr">
        <is>
          <t>F</t>
        </is>
      </c>
      <c r="H646" s="78" t="n">
        <v>5511987211022</v>
      </c>
      <c r="I646" s="87" t="inlineStr">
        <is>
          <t>Novo</t>
        </is>
      </c>
      <c r="J646" s="87" t="inlineStr">
        <is>
          <t>Na planilha</t>
        </is>
      </c>
      <c r="K646" s="60" t="n">
        <v>46157</v>
      </c>
      <c r="L646" s="87">
        <f>TEXT(A646,"mmmm")</f>
        <v/>
      </c>
    </row>
    <row r="647">
      <c r="A647" s="60" t="n">
        <v>46148</v>
      </c>
      <c r="B647" s="60" t="n">
        <v>46151</v>
      </c>
      <c r="C647" s="60" t="n">
        <v>46154</v>
      </c>
      <c r="D647" s="87" t="inlineStr">
        <is>
          <t>WAGNER DA SILVA DE OLIVEIRA</t>
        </is>
      </c>
      <c r="E647" s="87" t="inlineStr">
        <is>
          <t>Suhai</t>
        </is>
      </c>
      <c r="F647" s="87" t="inlineStr">
        <is>
          <t>Leticia</t>
        </is>
      </c>
      <c r="G647" s="87" t="inlineStr">
        <is>
          <t>F</t>
        </is>
      </c>
      <c r="H647" s="76" t="n">
        <v>5511940361540</v>
      </c>
      <c r="I647" s="87" t="inlineStr">
        <is>
          <t>Renovação</t>
        </is>
      </c>
      <c r="J647" s="87" t="inlineStr">
        <is>
          <t>Assinado</t>
        </is>
      </c>
      <c r="K647" s="60" t="n">
        <v>46157</v>
      </c>
      <c r="L647" s="87">
        <f>TEXT(A647,"mmmm")</f>
        <v/>
      </c>
    </row>
    <row r="648">
      <c r="A648" s="60" t="n">
        <v>46149</v>
      </c>
      <c r="B648" s="60" t="n">
        <v>46152</v>
      </c>
      <c r="C648" s="60" t="n">
        <v>46155</v>
      </c>
      <c r="D648" s="87" t="inlineStr">
        <is>
          <t>EDSON DIAS DE SIQUEIRA</t>
        </is>
      </c>
      <c r="E648" s="87" t="inlineStr">
        <is>
          <t>Azul</t>
        </is>
      </c>
      <c r="F648" s="87" t="inlineStr">
        <is>
          <t>John</t>
        </is>
      </c>
      <c r="G648" s="87" t="inlineStr">
        <is>
          <t>M</t>
        </is>
      </c>
      <c r="H648" s="78" t="n">
        <v>5511949164146</v>
      </c>
      <c r="I648" s="87" t="inlineStr">
        <is>
          <t>Novo</t>
        </is>
      </c>
      <c r="J648" s="87" t="inlineStr">
        <is>
          <t>Assinado</t>
        </is>
      </c>
      <c r="K648" s="60" t="n">
        <v>46158</v>
      </c>
      <c r="L648" s="87">
        <f>TEXT(A648,"mmmm")</f>
        <v/>
      </c>
    </row>
    <row r="649">
      <c r="A649" s="60" t="n">
        <v>46149</v>
      </c>
      <c r="B649" s="60" t="n">
        <v>46152</v>
      </c>
      <c r="C649" s="60" t="n">
        <v>46155</v>
      </c>
      <c r="D649" s="87" t="inlineStr">
        <is>
          <t>DIEGO GAMA DE SOUZA</t>
        </is>
      </c>
      <c r="E649" s="87" t="inlineStr">
        <is>
          <t>Suhai</t>
        </is>
      </c>
      <c r="F649" s="87" t="inlineStr">
        <is>
          <t>Jacqueline</t>
        </is>
      </c>
      <c r="G649" s="87" t="inlineStr">
        <is>
          <t>F</t>
        </is>
      </c>
      <c r="H649" s="78" t="n">
        <v>5511930959217</v>
      </c>
      <c r="I649" s="87" t="inlineStr">
        <is>
          <t>Novo</t>
        </is>
      </c>
      <c r="J649" s="87" t="inlineStr">
        <is>
          <t>Assinado</t>
        </is>
      </c>
      <c r="K649" s="60" t="n">
        <v>46158</v>
      </c>
      <c r="L649" s="87">
        <f>TEXT(A649,"mmmm")</f>
        <v/>
      </c>
    </row>
    <row r="650">
      <c r="A650" s="60" t="n">
        <v>46149</v>
      </c>
      <c r="B650" s="60" t="n">
        <v>46152</v>
      </c>
      <c r="C650" s="60" t="n">
        <v>46155</v>
      </c>
      <c r="D650" s="87" t="inlineStr">
        <is>
          <t>MARIA JOSE CARVALHO DE MATOS</t>
        </is>
      </c>
      <c r="E650" s="87" t="inlineStr">
        <is>
          <t>Tokio</t>
        </is>
      </c>
      <c r="F650" s="87" t="inlineStr">
        <is>
          <t>Jéssica</t>
        </is>
      </c>
      <c r="G650" s="87" t="inlineStr">
        <is>
          <t>F</t>
        </is>
      </c>
      <c r="H650" s="78" t="n">
        <v>5511949194477</v>
      </c>
      <c r="I650" s="87" t="inlineStr">
        <is>
          <t>Novo</t>
        </is>
      </c>
      <c r="J650" s="87" t="inlineStr">
        <is>
          <t>Na planilha</t>
        </is>
      </c>
      <c r="K650" s="60" t="n">
        <v>46158</v>
      </c>
      <c r="L650" s="87">
        <f>TEXT(A650,"mmmm")</f>
        <v/>
      </c>
    </row>
    <row r="651">
      <c r="A651" s="60" t="n">
        <v>46149</v>
      </c>
      <c r="B651" s="60" t="n">
        <v>46152</v>
      </c>
      <c r="C651" s="60" t="n">
        <v>46155</v>
      </c>
      <c r="D651" s="87" t="inlineStr">
        <is>
          <t>DJANAINA KOZIKOSKI FAILLA</t>
        </is>
      </c>
      <c r="E651" s="87" t="inlineStr">
        <is>
          <t>Suhai</t>
        </is>
      </c>
      <c r="F651" s="87" t="inlineStr">
        <is>
          <t>Jéssica</t>
        </is>
      </c>
      <c r="G651" s="87" t="inlineStr">
        <is>
          <t>F</t>
        </is>
      </c>
      <c r="H651" s="78" t="n">
        <v>5511998235377</v>
      </c>
      <c r="I651" s="87" t="inlineStr">
        <is>
          <t>Novo</t>
        </is>
      </c>
      <c r="J651" s="87" t="inlineStr">
        <is>
          <t>Assinado</t>
        </is>
      </c>
      <c r="K651" s="60" t="n">
        <v>46158</v>
      </c>
      <c r="L651" s="87">
        <f>TEXT(A651,"mmmm")</f>
        <v/>
      </c>
    </row>
    <row r="652">
      <c r="A652" s="60" t="n">
        <v>46149</v>
      </c>
      <c r="B652" s="60" t="n">
        <v>46152</v>
      </c>
      <c r="C652" s="60" t="n">
        <v>46155</v>
      </c>
      <c r="D652" s="87" t="inlineStr">
        <is>
          <t>JOSE SILVANO DOS SANTOS</t>
        </is>
      </c>
      <c r="E652" s="87" t="inlineStr">
        <is>
          <t>Porto</t>
        </is>
      </c>
      <c r="F652" s="87" t="inlineStr">
        <is>
          <t>John</t>
        </is>
      </c>
      <c r="G652" s="87" t="inlineStr">
        <is>
          <t>M</t>
        </is>
      </c>
      <c r="H652" s="78" t="n">
        <v>5511943032358</v>
      </c>
      <c r="I652" s="87" t="inlineStr">
        <is>
          <t>Renovação</t>
        </is>
      </c>
      <c r="J652" s="87" t="inlineStr">
        <is>
          <t>Assinado</t>
        </is>
      </c>
      <c r="K652" s="60" t="n">
        <v>46158</v>
      </c>
      <c r="L652" s="87">
        <f>TEXT(A652,"mmmm")</f>
        <v/>
      </c>
    </row>
    <row r="653">
      <c r="A653" s="60" t="n">
        <v>46149</v>
      </c>
      <c r="B653" s="60" t="n">
        <v>46152</v>
      </c>
      <c r="C653" s="60" t="n">
        <v>46155</v>
      </c>
      <c r="D653" s="87" t="inlineStr">
        <is>
          <t>LEONARDO FELIPE DE MELO BASILIO</t>
        </is>
      </c>
      <c r="E653" s="87" t="inlineStr">
        <is>
          <t>Itaú</t>
        </is>
      </c>
      <c r="F653" s="87" t="inlineStr">
        <is>
          <t>Leticia</t>
        </is>
      </c>
      <c r="G653" s="87" t="inlineStr">
        <is>
          <t>F</t>
        </is>
      </c>
      <c r="H653" s="78" t="n">
        <v>5517992638606</v>
      </c>
      <c r="I653" s="87" t="inlineStr">
        <is>
          <t>Novo</t>
        </is>
      </c>
      <c r="J653" s="87" t="inlineStr">
        <is>
          <t>Assinado(manual)</t>
        </is>
      </c>
      <c r="K653" s="60" t="n">
        <v>46158</v>
      </c>
      <c r="L653" s="87">
        <f>TEXT(A653,"mmmm")</f>
        <v/>
      </c>
    </row>
    <row r="654">
      <c r="A654" s="60" t="n">
        <v>46149</v>
      </c>
      <c r="B654" s="60" t="n">
        <v>46152</v>
      </c>
      <c r="C654" s="60" t="n">
        <v>46155</v>
      </c>
      <c r="D654" s="87" t="inlineStr">
        <is>
          <t>EDIVALDO DE SOUZA</t>
        </is>
      </c>
      <c r="E654" s="87" t="inlineStr">
        <is>
          <t>Suhai</t>
        </is>
      </c>
      <c r="F654" s="87" t="inlineStr">
        <is>
          <t>Isabella</t>
        </is>
      </c>
      <c r="G654" s="87" t="inlineStr">
        <is>
          <t>F</t>
        </is>
      </c>
      <c r="H654" s="78" t="n">
        <v>5516988474001</v>
      </c>
      <c r="I654" s="87" t="inlineStr">
        <is>
          <t>Novo</t>
        </is>
      </c>
      <c r="J654" s="87" t="inlineStr">
        <is>
          <t>Na planilha</t>
        </is>
      </c>
      <c r="K654" s="60" t="n">
        <v>46158</v>
      </c>
      <c r="L654" s="87">
        <f>TEXT(A654,"mmmm")</f>
        <v/>
      </c>
    </row>
    <row r="655">
      <c r="A655" s="60" t="n">
        <v>46149</v>
      </c>
      <c r="B655" s="60" t="n">
        <v>46152</v>
      </c>
      <c r="C655" s="60" t="n">
        <v>46155</v>
      </c>
      <c r="D655" s="87" t="inlineStr">
        <is>
          <t>FERNANDO HENRIQUE TREVISAN</t>
        </is>
      </c>
      <c r="E655" s="87" t="inlineStr">
        <is>
          <t>Azul</t>
        </is>
      </c>
      <c r="F655" s="87" t="inlineStr">
        <is>
          <t>Isabella</t>
        </is>
      </c>
      <c r="G655" s="87" t="inlineStr">
        <is>
          <t>F</t>
        </is>
      </c>
      <c r="H655" s="78" t="n">
        <v>5519981781815</v>
      </c>
      <c r="I655" s="87" t="inlineStr">
        <is>
          <t>Novo</t>
        </is>
      </c>
      <c r="J655" s="87" t="inlineStr">
        <is>
          <t>Assinado</t>
        </is>
      </c>
      <c r="K655" s="60" t="n">
        <v>46158</v>
      </c>
      <c r="L655" s="87">
        <f>TEXT(A655,"mmmm")</f>
        <v/>
      </c>
    </row>
    <row r="656">
      <c r="A656" s="60" t="n">
        <v>46149</v>
      </c>
      <c r="B656" s="60" t="n">
        <v>46152</v>
      </c>
      <c r="C656" s="60" t="n">
        <v>46155</v>
      </c>
      <c r="D656" s="87" t="inlineStr">
        <is>
          <t>GIVANILDO BATISTA DOS SANTOS</t>
        </is>
      </c>
      <c r="E656" s="87" t="inlineStr">
        <is>
          <t>Suhai</t>
        </is>
      </c>
      <c r="F656" s="87" t="inlineStr">
        <is>
          <t>Isabella</t>
        </is>
      </c>
      <c r="G656" s="87" t="inlineStr">
        <is>
          <t>F</t>
        </is>
      </c>
      <c r="H656" s="78" t="n">
        <v>5511986420776</v>
      </c>
      <c r="I656" s="87" t="inlineStr">
        <is>
          <t>Novo</t>
        </is>
      </c>
      <c r="J656" s="87" t="inlineStr">
        <is>
          <t>Assinado</t>
        </is>
      </c>
      <c r="K656" s="60" t="n">
        <v>46158</v>
      </c>
      <c r="L656" s="87">
        <f>TEXT(A656,"mmmm")</f>
        <v/>
      </c>
    </row>
    <row r="657">
      <c r="A657" s="60" t="n">
        <v>46149</v>
      </c>
      <c r="B657" s="60" t="n">
        <v>46152</v>
      </c>
      <c r="C657" s="60" t="n">
        <v>46155</v>
      </c>
      <c r="D657" s="87" t="inlineStr">
        <is>
          <t>CICERO RICARDO DOMINGOS DA SILVA</t>
        </is>
      </c>
      <c r="E657" s="87" t="inlineStr">
        <is>
          <t>Azul</t>
        </is>
      </c>
      <c r="F657" s="87" t="inlineStr">
        <is>
          <t>Jacqueline</t>
        </is>
      </c>
      <c r="G657" s="87" t="inlineStr">
        <is>
          <t>F</t>
        </is>
      </c>
      <c r="H657" s="78" t="n">
        <v>5515988152546</v>
      </c>
      <c r="I657" s="87" t="inlineStr">
        <is>
          <t>Novo</t>
        </is>
      </c>
      <c r="J657" s="87" t="inlineStr">
        <is>
          <t>Na planilha</t>
        </is>
      </c>
      <c r="K657" s="60" t="n">
        <v>46158</v>
      </c>
      <c r="L657" s="87">
        <f>TEXT(A657,"mmmm")</f>
        <v/>
      </c>
    </row>
    <row r="658">
      <c r="A658" s="60" t="n">
        <v>46149</v>
      </c>
      <c r="B658" s="60" t="n">
        <v>46152</v>
      </c>
      <c r="C658" s="60" t="n">
        <v>46155</v>
      </c>
      <c r="D658" s="87" t="inlineStr">
        <is>
          <t>LUDMILA MOTA VIEIRA DAMASCENO</t>
        </is>
      </c>
      <c r="E658" s="87" t="inlineStr">
        <is>
          <t>Suhai</t>
        </is>
      </c>
      <c r="F658" s="87" t="inlineStr">
        <is>
          <t>Jacqueline</t>
        </is>
      </c>
      <c r="G658" s="87" t="inlineStr">
        <is>
          <t>F</t>
        </is>
      </c>
      <c r="H658" s="78" t="n">
        <v>5531992497663</v>
      </c>
      <c r="I658" s="87" t="inlineStr">
        <is>
          <t>Novo</t>
        </is>
      </c>
      <c r="J658" s="87" t="inlineStr">
        <is>
          <t>Assinado</t>
        </is>
      </c>
      <c r="K658" s="60" t="n">
        <v>46158</v>
      </c>
      <c r="L658" s="87">
        <f>TEXT(A658,"mmmm")</f>
        <v/>
      </c>
    </row>
    <row r="659">
      <c r="A659" s="60" t="n">
        <v>46149</v>
      </c>
      <c r="B659" s="60" t="n">
        <v>46152</v>
      </c>
      <c r="C659" s="60" t="n">
        <v>46155</v>
      </c>
      <c r="D659" s="87" t="inlineStr">
        <is>
          <t>JURAILTON SOUZA SANTOS</t>
        </is>
      </c>
      <c r="E659" s="87" t="inlineStr">
        <is>
          <t>Tokio</t>
        </is>
      </c>
      <c r="F659" s="87" t="inlineStr">
        <is>
          <t>Leticia</t>
        </is>
      </c>
      <c r="G659" s="87" t="inlineStr">
        <is>
          <t>F</t>
        </is>
      </c>
      <c r="H659" s="78" t="n">
        <v>5511982144615</v>
      </c>
      <c r="I659" s="87" t="inlineStr">
        <is>
          <t>Novo</t>
        </is>
      </c>
      <c r="J659" s="87" t="inlineStr">
        <is>
          <t>Assinado</t>
        </is>
      </c>
      <c r="K659" s="60" t="n">
        <v>46158</v>
      </c>
      <c r="L659" s="87">
        <f>TEXT(A659,"mmmm")</f>
        <v/>
      </c>
    </row>
    <row r="660">
      <c r="A660" s="60" t="n">
        <v>46149</v>
      </c>
      <c r="B660" s="60" t="n">
        <v>46152</v>
      </c>
      <c r="C660" s="60" t="n">
        <v>46155</v>
      </c>
      <c r="D660" s="87" t="inlineStr">
        <is>
          <t>MARIA APARECIDA DA SILVA SOUZA</t>
        </is>
      </c>
      <c r="E660" s="87" t="inlineStr">
        <is>
          <t>Porto</t>
        </is>
      </c>
      <c r="F660" s="87" t="inlineStr">
        <is>
          <t>Leticia</t>
        </is>
      </c>
      <c r="G660" s="87" t="inlineStr">
        <is>
          <t>F</t>
        </is>
      </c>
      <c r="H660" s="78" t="n">
        <v>5581984214061</v>
      </c>
      <c r="I660" s="87" t="inlineStr">
        <is>
          <t>Renovação</t>
        </is>
      </c>
      <c r="J660" s="87" t="inlineStr">
        <is>
          <t>Assinado</t>
        </is>
      </c>
      <c r="K660" s="60" t="n">
        <v>46158</v>
      </c>
      <c r="L660" s="87">
        <f>TEXT(A660,"mmmm")</f>
        <v/>
      </c>
    </row>
    <row r="661">
      <c r="A661" s="60" t="n">
        <v>46149</v>
      </c>
      <c r="B661" s="60" t="n">
        <v>46152</v>
      </c>
      <c r="C661" s="60" t="n">
        <v>46155</v>
      </c>
      <c r="D661" s="87" t="inlineStr">
        <is>
          <t>ROUBERTH BARBOSA DA SILVA</t>
        </is>
      </c>
      <c r="E661" s="87" t="inlineStr">
        <is>
          <t>Azul</t>
        </is>
      </c>
      <c r="F661" s="87" t="inlineStr">
        <is>
          <t>Jacqueline</t>
        </is>
      </c>
      <c r="G661" s="87" t="inlineStr">
        <is>
          <t>F</t>
        </is>
      </c>
      <c r="H661" s="78" t="n">
        <v>5511965139319</v>
      </c>
      <c r="I661" s="87" t="inlineStr">
        <is>
          <t>Novo</t>
        </is>
      </c>
      <c r="J661" s="87" t="inlineStr">
        <is>
          <t>Assinado</t>
        </is>
      </c>
      <c r="K661" s="60" t="n">
        <v>46158</v>
      </c>
      <c r="L661" s="87">
        <f>TEXT(A661,"mmmm")</f>
        <v/>
      </c>
    </row>
    <row r="662">
      <c r="A662" s="60" t="n">
        <v>46150</v>
      </c>
      <c r="B662" s="60" t="n">
        <v>46153</v>
      </c>
      <c r="C662" s="60" t="n">
        <v>46156</v>
      </c>
      <c r="D662" s="87" t="inlineStr">
        <is>
          <t>DULCE ELENE APARECIDA DIAS</t>
        </is>
      </c>
      <c r="E662" s="87" t="inlineStr">
        <is>
          <t>Azul</t>
        </is>
      </c>
      <c r="F662" s="87" t="inlineStr">
        <is>
          <t>Jacqueline</t>
        </is>
      </c>
      <c r="G662" s="87" t="inlineStr">
        <is>
          <t>F</t>
        </is>
      </c>
      <c r="H662" s="78" t="n">
        <v>5511946635281</v>
      </c>
      <c r="I662" s="87" t="inlineStr">
        <is>
          <t>Novo</t>
        </is>
      </c>
      <c r="J662" s="87" t="inlineStr">
        <is>
          <t>Assinado</t>
        </is>
      </c>
      <c r="K662" s="60" t="n">
        <v>46159</v>
      </c>
      <c r="L662" s="87">
        <f>TEXT(A662,"mmmm")</f>
        <v/>
      </c>
    </row>
    <row r="663">
      <c r="A663" s="60" t="n">
        <v>46150</v>
      </c>
      <c r="B663" s="60" t="n">
        <v>46153</v>
      </c>
      <c r="C663" s="60" t="n">
        <v>46156</v>
      </c>
      <c r="D663" s="87" t="inlineStr">
        <is>
          <t>JOSE LAERCIO DA SILVA</t>
        </is>
      </c>
      <c r="E663" s="87" t="inlineStr">
        <is>
          <t>Azul</t>
        </is>
      </c>
      <c r="F663" s="87" t="inlineStr">
        <is>
          <t>Jacqueline</t>
        </is>
      </c>
      <c r="G663" s="87" t="inlineStr">
        <is>
          <t>F</t>
        </is>
      </c>
      <c r="H663" s="78" t="n">
        <v>5511988931271</v>
      </c>
      <c r="I663" s="87" t="inlineStr">
        <is>
          <t>Novo</t>
        </is>
      </c>
      <c r="J663" s="87" t="inlineStr">
        <is>
          <t>Assinado</t>
        </is>
      </c>
      <c r="K663" s="60" t="n">
        <v>46159</v>
      </c>
      <c r="L663" s="87">
        <f>TEXT(A663,"mmmm")</f>
        <v/>
      </c>
    </row>
    <row r="664">
      <c r="A664" s="60" t="n">
        <v>46150</v>
      </c>
      <c r="B664" s="60" t="n">
        <v>46153</v>
      </c>
      <c r="C664" s="60" t="n">
        <v>46156</v>
      </c>
      <c r="D664" s="87" t="inlineStr">
        <is>
          <t>EDVANILSON MARTINS DOS ANJOS</t>
        </is>
      </c>
      <c r="E664" s="87" t="inlineStr">
        <is>
          <t>Azul</t>
        </is>
      </c>
      <c r="F664" s="87" t="inlineStr">
        <is>
          <t>Jacqueline</t>
        </is>
      </c>
      <c r="G664" s="87" t="inlineStr">
        <is>
          <t>F</t>
        </is>
      </c>
      <c r="H664" s="78" t="n">
        <v>5511999044143</v>
      </c>
      <c r="I664" s="87" t="inlineStr">
        <is>
          <t>Novo</t>
        </is>
      </c>
      <c r="J664" s="87" t="inlineStr">
        <is>
          <t>Na planilha</t>
        </is>
      </c>
      <c r="K664" s="60" t="n">
        <v>46159</v>
      </c>
      <c r="L664" s="87">
        <f>TEXT(A664,"mmmm")</f>
        <v/>
      </c>
    </row>
    <row r="665">
      <c r="A665" s="60" t="n">
        <v>46150</v>
      </c>
      <c r="B665" s="60" t="n">
        <v>46153</v>
      </c>
      <c r="C665" s="60" t="n">
        <v>46156</v>
      </c>
      <c r="D665" s="87" t="inlineStr">
        <is>
          <t>WALDEMAR VIDORETTO</t>
        </is>
      </c>
      <c r="E665" s="87" t="inlineStr">
        <is>
          <t>Azul</t>
        </is>
      </c>
      <c r="F665" s="87" t="inlineStr">
        <is>
          <t>Jéssica</t>
        </is>
      </c>
      <c r="G665" s="87" t="inlineStr">
        <is>
          <t>F</t>
        </is>
      </c>
      <c r="H665" s="78" t="n">
        <v>5514991763934</v>
      </c>
      <c r="I665" s="87" t="inlineStr">
        <is>
          <t>Novo</t>
        </is>
      </c>
      <c r="J665" s="87" t="inlineStr">
        <is>
          <t>Na planilha</t>
        </is>
      </c>
      <c r="K665" s="60" t="n">
        <v>46159</v>
      </c>
      <c r="L665" s="87">
        <f>TEXT(A665,"mmmm")</f>
        <v/>
      </c>
    </row>
    <row r="666">
      <c r="A666" s="60" t="n">
        <v>46150</v>
      </c>
      <c r="B666" s="60" t="n">
        <v>46153</v>
      </c>
      <c r="C666" s="60" t="n">
        <v>46156</v>
      </c>
      <c r="D666" s="87" t="inlineStr">
        <is>
          <t>GERALDO MAGELA ANDRADE REGO</t>
        </is>
      </c>
      <c r="E666" s="87" t="inlineStr">
        <is>
          <t>Porto</t>
        </is>
      </c>
      <c r="F666" s="87" t="inlineStr">
        <is>
          <t>Leticia</t>
        </is>
      </c>
      <c r="G666" s="87" t="inlineStr">
        <is>
          <t>F</t>
        </is>
      </c>
      <c r="H666" s="78" t="n">
        <v>5511913254674</v>
      </c>
      <c r="I666" s="87" t="inlineStr">
        <is>
          <t>Novo</t>
        </is>
      </c>
      <c r="J666" s="87" t="inlineStr">
        <is>
          <t>Assinado(manual)</t>
        </is>
      </c>
      <c r="K666" s="60" t="n">
        <v>46159</v>
      </c>
      <c r="L666" s="87">
        <f>TEXT(A666,"mmmm")</f>
        <v/>
      </c>
    </row>
    <row r="667">
      <c r="A667" s="60" t="n">
        <v>46150</v>
      </c>
      <c r="B667" s="60" t="n">
        <v>46153</v>
      </c>
      <c r="C667" s="60" t="n">
        <v>46156</v>
      </c>
      <c r="D667" s="87" t="inlineStr">
        <is>
          <t>RAFAELA TERUEL SANCHEZ</t>
        </is>
      </c>
      <c r="E667" s="87" t="inlineStr">
        <is>
          <t>Azul</t>
        </is>
      </c>
      <c r="F667" s="87" t="inlineStr">
        <is>
          <t>Jacqueline</t>
        </is>
      </c>
      <c r="G667" s="87" t="inlineStr">
        <is>
          <t>F</t>
        </is>
      </c>
      <c r="H667" s="78" t="n">
        <v>5511971909913</v>
      </c>
      <c r="I667" s="87" t="inlineStr">
        <is>
          <t>Novo</t>
        </is>
      </c>
      <c r="J667" s="87" t="inlineStr">
        <is>
          <t>Assinado</t>
        </is>
      </c>
      <c r="K667" s="60" t="n">
        <v>46159</v>
      </c>
      <c r="L667" s="87">
        <f>TEXT(A667,"mmmm")</f>
        <v/>
      </c>
    </row>
    <row r="668">
      <c r="A668" s="60" t="n">
        <v>46150</v>
      </c>
      <c r="B668" s="60" t="n">
        <v>46153</v>
      </c>
      <c r="C668" s="60" t="n">
        <v>46156</v>
      </c>
      <c r="D668" s="87" t="inlineStr">
        <is>
          <t>EZEQUIEL COSTA</t>
        </is>
      </c>
      <c r="E668" s="87" t="inlineStr">
        <is>
          <t>Azul</t>
        </is>
      </c>
      <c r="F668" s="87" t="inlineStr">
        <is>
          <t>Myrelle</t>
        </is>
      </c>
      <c r="G668" s="87" t="inlineStr">
        <is>
          <t>F</t>
        </is>
      </c>
      <c r="H668" s="78" t="n">
        <v>5513996289821</v>
      </c>
      <c r="I668" s="87" t="inlineStr">
        <is>
          <t>Novo</t>
        </is>
      </c>
      <c r="J668" s="87" t="inlineStr">
        <is>
          <t>Assinado(manual)</t>
        </is>
      </c>
      <c r="K668" s="60" t="n">
        <v>46159</v>
      </c>
      <c r="L668" s="87">
        <f>TEXT(A668,"mmmm")</f>
        <v/>
      </c>
    </row>
    <row r="669">
      <c r="A669" s="60" t="n">
        <v>46150</v>
      </c>
      <c r="B669" s="60" t="n">
        <v>46153</v>
      </c>
      <c r="C669" s="60" t="n">
        <v>46156</v>
      </c>
      <c r="D669" s="87" t="inlineStr">
        <is>
          <t>MATEUS SOUZA OLIVEIRA</t>
        </is>
      </c>
      <c r="E669" s="87" t="inlineStr">
        <is>
          <t>Azul</t>
        </is>
      </c>
      <c r="F669" s="87" t="inlineStr">
        <is>
          <t>Jacqueline</t>
        </is>
      </c>
      <c r="G669" s="87" t="inlineStr">
        <is>
          <t>F</t>
        </is>
      </c>
      <c r="H669" s="78" t="n">
        <v>5521978767882</v>
      </c>
      <c r="I669" s="87" t="inlineStr">
        <is>
          <t>Novo</t>
        </is>
      </c>
      <c r="J669" s="87" t="inlineStr">
        <is>
          <t>Na planilha</t>
        </is>
      </c>
      <c r="K669" s="60" t="n">
        <v>46159</v>
      </c>
      <c r="L669" s="87">
        <f>TEXT(A669,"mmmm")</f>
        <v/>
      </c>
    </row>
    <row r="670">
      <c r="A670" s="60" t="n">
        <v>46153</v>
      </c>
      <c r="B670" s="60" t="n">
        <v>46156</v>
      </c>
      <c r="C670" s="60" t="n">
        <v>46159</v>
      </c>
      <c r="D670" s="87" t="inlineStr">
        <is>
          <t>GABRIELA BAPTISTA SIMOES</t>
        </is>
      </c>
      <c r="E670" s="87" t="inlineStr">
        <is>
          <t>Suhai</t>
        </is>
      </c>
      <c r="F670" s="87" t="inlineStr">
        <is>
          <t>Leticia</t>
        </is>
      </c>
      <c r="G670" s="87" t="inlineStr">
        <is>
          <t>F</t>
        </is>
      </c>
      <c r="H670" s="78" t="n">
        <v>5511963199278</v>
      </c>
      <c r="I670" s="87" t="inlineStr">
        <is>
          <t>Renovação</t>
        </is>
      </c>
      <c r="J670" s="87" t="inlineStr">
        <is>
          <t>Na planilha</t>
        </is>
      </c>
      <c r="K670" s="60" t="n">
        <v>46162</v>
      </c>
      <c r="L670" s="87">
        <f>TEXT(A670,"mmmm")</f>
        <v/>
      </c>
    </row>
    <row r="671">
      <c r="A671" s="60" t="n">
        <v>46153</v>
      </c>
      <c r="B671" s="60" t="n">
        <v>46156</v>
      </c>
      <c r="C671" s="60" t="n">
        <v>46159</v>
      </c>
      <c r="D671" s="87" t="inlineStr">
        <is>
          <t>MARCIO ALEXANDRE DE SOUZA INFRAN</t>
        </is>
      </c>
      <c r="E671" s="87" t="inlineStr">
        <is>
          <t>Azul</t>
        </is>
      </c>
      <c r="F671" s="87" t="inlineStr">
        <is>
          <t>Jacqueline</t>
        </is>
      </c>
      <c r="G671" s="87" t="inlineStr">
        <is>
          <t>F</t>
        </is>
      </c>
      <c r="H671" s="78" t="n">
        <v>5547999959443</v>
      </c>
      <c r="I671" s="87" t="inlineStr">
        <is>
          <t>Novo</t>
        </is>
      </c>
      <c r="J671" s="87" t="inlineStr">
        <is>
          <t>Assinado</t>
        </is>
      </c>
      <c r="K671" s="60" t="n">
        <v>46162</v>
      </c>
      <c r="L671" s="87">
        <f>TEXT(A671,"mmmm")</f>
        <v/>
      </c>
    </row>
    <row r="672">
      <c r="A672" s="60" t="n">
        <v>46153</v>
      </c>
      <c r="B672" s="60" t="n">
        <v>46156</v>
      </c>
      <c r="C672" s="60" t="n">
        <v>46159</v>
      </c>
      <c r="D672" s="87" t="inlineStr">
        <is>
          <t>LUCIANA MARA GONCALVES DO NASCIMENTO</t>
        </is>
      </c>
      <c r="E672" s="87" t="inlineStr">
        <is>
          <t>Porto</t>
        </is>
      </c>
      <c r="F672" s="87" t="inlineStr">
        <is>
          <t>John</t>
        </is>
      </c>
      <c r="G672" s="87" t="inlineStr">
        <is>
          <t>M</t>
        </is>
      </c>
      <c r="H672" s="78" t="n">
        <v>5514981565440</v>
      </c>
      <c r="I672" s="87" t="inlineStr">
        <is>
          <t>Renovação</t>
        </is>
      </c>
      <c r="J672" s="87" t="inlineStr">
        <is>
          <t>Assinado</t>
        </is>
      </c>
      <c r="K672" s="60" t="n">
        <v>46162</v>
      </c>
      <c r="L672" s="87">
        <f>TEXT(A672,"mmmm")</f>
        <v/>
      </c>
    </row>
    <row r="673">
      <c r="A673" s="60" t="n">
        <v>46153</v>
      </c>
      <c r="B673" s="60" t="n">
        <v>46156</v>
      </c>
      <c r="C673" s="60" t="n">
        <v>46159</v>
      </c>
      <c r="D673" s="87" t="inlineStr">
        <is>
          <t>NELSON TOSHIAKI MIYASATO</t>
        </is>
      </c>
      <c r="E673" s="87" t="inlineStr">
        <is>
          <t>Azul</t>
        </is>
      </c>
      <c r="F673" s="87" t="inlineStr">
        <is>
          <t>John</t>
        </is>
      </c>
      <c r="G673" s="87" t="inlineStr">
        <is>
          <t>M</t>
        </is>
      </c>
      <c r="H673" s="78" t="n">
        <v>5511985329221</v>
      </c>
      <c r="I673" s="87" t="inlineStr">
        <is>
          <t>Renovação</t>
        </is>
      </c>
      <c r="J673" s="87" t="inlineStr">
        <is>
          <t>Assinado</t>
        </is>
      </c>
      <c r="K673" s="60" t="n">
        <v>46162</v>
      </c>
      <c r="L673" s="87">
        <f>TEXT(A673,"mmmm")</f>
        <v/>
      </c>
    </row>
    <row r="674">
      <c r="A674" s="60" t="n">
        <v>46153</v>
      </c>
      <c r="B674" s="60" t="n">
        <v>46156</v>
      </c>
      <c r="C674" s="60" t="n">
        <v>46159</v>
      </c>
      <c r="D674" s="87" t="inlineStr">
        <is>
          <t>DINGLER QUELHAS PAOLI</t>
        </is>
      </c>
      <c r="E674" s="87" t="inlineStr">
        <is>
          <t>Azul</t>
        </is>
      </c>
      <c r="F674" s="87" t="inlineStr">
        <is>
          <t>John</t>
        </is>
      </c>
      <c r="G674" s="87" t="inlineStr">
        <is>
          <t>M</t>
        </is>
      </c>
      <c r="H674" s="78" t="n">
        <v>5511983100238</v>
      </c>
      <c r="I674" s="87" t="inlineStr">
        <is>
          <t>Renovação</t>
        </is>
      </c>
      <c r="J674" s="87" t="inlineStr">
        <is>
          <t>Assinado</t>
        </is>
      </c>
      <c r="K674" s="60" t="n">
        <v>46162</v>
      </c>
      <c r="L674" s="87">
        <f>TEXT(A674,"mmmm")</f>
        <v/>
      </c>
    </row>
    <row r="675">
      <c r="A675" s="60" t="n">
        <v>46153</v>
      </c>
      <c r="B675" s="60" t="n">
        <v>46156</v>
      </c>
      <c r="C675" s="60" t="n">
        <v>46159</v>
      </c>
      <c r="D675" s="87" t="inlineStr">
        <is>
          <t>GISELE DA CRUZ LOPES</t>
        </is>
      </c>
      <c r="E675" s="87" t="inlineStr">
        <is>
          <t>Azul</t>
        </is>
      </c>
      <c r="F675" s="87" t="inlineStr">
        <is>
          <t>John</t>
        </is>
      </c>
      <c r="G675" s="87" t="inlineStr">
        <is>
          <t>M</t>
        </is>
      </c>
      <c r="H675" s="78" t="n">
        <v>5511954781161</v>
      </c>
      <c r="I675" s="87" t="inlineStr">
        <is>
          <t>Renovação</t>
        </is>
      </c>
      <c r="J675" s="87" t="inlineStr">
        <is>
          <t>Assinado</t>
        </is>
      </c>
      <c r="K675" s="60" t="n">
        <v>46162</v>
      </c>
      <c r="L675" s="87">
        <f>TEXT(A675,"mmmm")</f>
        <v/>
      </c>
    </row>
    <row r="676">
      <c r="A676" s="60" t="n">
        <v>46153</v>
      </c>
      <c r="B676" s="60" t="n">
        <v>46156</v>
      </c>
      <c r="C676" s="60" t="n">
        <v>46159</v>
      </c>
      <c r="D676" s="87" t="inlineStr">
        <is>
          <t>ANTONIO MARCOS OLIVEIRA</t>
        </is>
      </c>
      <c r="E676" s="87" t="inlineStr">
        <is>
          <t>Porto</t>
        </is>
      </c>
      <c r="F676" s="87" t="inlineStr">
        <is>
          <t>John</t>
        </is>
      </c>
      <c r="G676" s="87" t="inlineStr">
        <is>
          <t>M</t>
        </is>
      </c>
      <c r="H676" s="78" t="n">
        <v>5511961676300</v>
      </c>
      <c r="I676" s="87" t="inlineStr">
        <is>
          <t>Renovação</t>
        </is>
      </c>
      <c r="J676" s="87" t="inlineStr">
        <is>
          <t>Assinado</t>
        </is>
      </c>
      <c r="K676" s="60" t="n">
        <v>46162</v>
      </c>
      <c r="L676" s="87">
        <f>TEXT(A676,"mmmm")</f>
        <v/>
      </c>
    </row>
    <row r="677">
      <c r="A677" s="60" t="n">
        <v>46153</v>
      </c>
      <c r="B677" s="60" t="n">
        <v>46156</v>
      </c>
      <c r="C677" s="60" t="n">
        <v>46159</v>
      </c>
      <c r="D677" s="87" t="inlineStr">
        <is>
          <t>SERGIO RICARDO CAMILLO</t>
        </is>
      </c>
      <c r="E677" s="87" t="inlineStr">
        <is>
          <t>Azul</t>
        </is>
      </c>
      <c r="F677" s="87" t="inlineStr">
        <is>
          <t>Myrelle</t>
        </is>
      </c>
      <c r="G677" s="87" t="inlineStr">
        <is>
          <t>F</t>
        </is>
      </c>
      <c r="H677" s="78" t="n">
        <v>5513988408324</v>
      </c>
      <c r="I677" s="87" t="inlineStr">
        <is>
          <t>Novo</t>
        </is>
      </c>
      <c r="J677" s="87" t="inlineStr">
        <is>
          <t>Assinado</t>
        </is>
      </c>
      <c r="K677" s="60" t="n">
        <v>46162</v>
      </c>
      <c r="L677" s="87">
        <f>TEXT(A677,"mmmm")</f>
        <v/>
      </c>
    </row>
    <row r="678">
      <c r="A678" s="60" t="n">
        <v>46153</v>
      </c>
      <c r="B678" s="60" t="n">
        <v>46156</v>
      </c>
      <c r="C678" s="60" t="n">
        <v>46159</v>
      </c>
      <c r="D678" s="87" t="inlineStr">
        <is>
          <t>RICARDO MAROTTI</t>
        </is>
      </c>
      <c r="E678" s="87" t="inlineStr">
        <is>
          <t>Suhai</t>
        </is>
      </c>
      <c r="F678" s="87" t="inlineStr">
        <is>
          <t>Jacqueline</t>
        </is>
      </c>
      <c r="G678" s="87" t="inlineStr">
        <is>
          <t>F</t>
        </is>
      </c>
      <c r="H678" s="78" t="n">
        <v>5513982259699</v>
      </c>
      <c r="I678" s="87" t="inlineStr">
        <is>
          <t>Novo</t>
        </is>
      </c>
      <c r="J678" s="87" t="inlineStr">
        <is>
          <t>Assinado</t>
        </is>
      </c>
      <c r="K678" s="60" t="n">
        <v>46162</v>
      </c>
      <c r="L678" s="87">
        <f>TEXT(A678,"mmmm")</f>
        <v/>
      </c>
    </row>
    <row r="679">
      <c r="A679" s="60" t="n">
        <v>46154</v>
      </c>
      <c r="B679" s="60" t="n">
        <v>46157</v>
      </c>
      <c r="C679" s="60" t="n">
        <v>46160</v>
      </c>
      <c r="D679" s="87" t="inlineStr">
        <is>
          <t>KLEBER TADEU DOS SANTOS</t>
        </is>
      </c>
      <c r="E679" s="87" t="inlineStr">
        <is>
          <t>Suhai</t>
        </is>
      </c>
      <c r="F679" s="87" t="inlineStr">
        <is>
          <t>Myrelle</t>
        </is>
      </c>
      <c r="G679" s="87" t="inlineStr">
        <is>
          <t>F</t>
        </is>
      </c>
      <c r="H679" s="78" t="n">
        <v>5514991434964</v>
      </c>
      <c r="I679" s="87" t="inlineStr">
        <is>
          <t>Novo</t>
        </is>
      </c>
      <c r="J679" s="87" t="inlineStr">
        <is>
          <t>Assinado</t>
        </is>
      </c>
      <c r="K679" s="60" t="n">
        <v>46163</v>
      </c>
      <c r="L679" s="87">
        <f>TEXT(A679,"mmmm")</f>
        <v/>
      </c>
    </row>
    <row r="680">
      <c r="A680" s="60" t="n">
        <v>46154</v>
      </c>
      <c r="B680" s="60" t="n">
        <v>46157</v>
      </c>
      <c r="C680" s="60" t="n">
        <v>46160</v>
      </c>
      <c r="D680" s="87" t="inlineStr">
        <is>
          <t>ANA CRISTINA GONCALVES DE ASSIS</t>
        </is>
      </c>
      <c r="E680" s="87" t="inlineStr">
        <is>
          <t>Azul</t>
        </is>
      </c>
      <c r="F680" s="87" t="inlineStr">
        <is>
          <t>Isabella</t>
        </is>
      </c>
      <c r="G680" s="87" t="inlineStr">
        <is>
          <t>F</t>
        </is>
      </c>
      <c r="H680" s="78" t="n">
        <v>5511987447103</v>
      </c>
      <c r="I680" s="87" t="inlineStr">
        <is>
          <t>Novo</t>
        </is>
      </c>
      <c r="J680" s="87" t="inlineStr">
        <is>
          <t>Assinado</t>
        </is>
      </c>
      <c r="K680" s="60" t="n">
        <v>46163</v>
      </c>
      <c r="L680" s="87">
        <f>TEXT(A680,"mmmm")</f>
        <v/>
      </c>
    </row>
    <row r="681">
      <c r="A681" s="60" t="n">
        <v>46154</v>
      </c>
      <c r="B681" s="60" t="n">
        <v>46157</v>
      </c>
      <c r="C681" s="60" t="n">
        <v>46160</v>
      </c>
      <c r="D681" s="87" t="inlineStr">
        <is>
          <t>MARIA APARECIDA ROZENO DA SILVA</t>
        </is>
      </c>
      <c r="E681" s="87" t="inlineStr">
        <is>
          <t>Tokio</t>
        </is>
      </c>
      <c r="F681" s="87" t="inlineStr">
        <is>
          <t>Isabella</t>
        </is>
      </c>
      <c r="G681" s="87" t="inlineStr">
        <is>
          <t>F</t>
        </is>
      </c>
      <c r="H681" s="78" t="n">
        <v>5513981501633</v>
      </c>
      <c r="I681" s="87" t="inlineStr">
        <is>
          <t>Renovação</t>
        </is>
      </c>
      <c r="J681" s="87" t="inlineStr">
        <is>
          <t>Assinado</t>
        </is>
      </c>
      <c r="K681" s="60" t="n">
        <v>46163</v>
      </c>
      <c r="L681" s="87">
        <f>TEXT(A681,"mmmm")</f>
        <v/>
      </c>
    </row>
    <row r="682">
      <c r="A682" s="60" t="n">
        <v>46154</v>
      </c>
      <c r="B682" s="60" t="n">
        <v>46157</v>
      </c>
      <c r="C682" s="60" t="n">
        <v>46160</v>
      </c>
      <c r="D682" s="87" t="inlineStr">
        <is>
          <t>EDIVALDO RODRIGUES DO NASCIMENTO</t>
        </is>
      </c>
      <c r="E682" s="87" t="inlineStr">
        <is>
          <t>Tokio</t>
        </is>
      </c>
      <c r="F682" s="87" t="inlineStr">
        <is>
          <t>Isabella</t>
        </is>
      </c>
      <c r="G682" s="87" t="inlineStr">
        <is>
          <t>F</t>
        </is>
      </c>
      <c r="H682" s="78" t="n">
        <v>5511966134693</v>
      </c>
      <c r="I682" s="87" t="inlineStr">
        <is>
          <t>Renovação</t>
        </is>
      </c>
      <c r="J682" s="87" t="inlineStr">
        <is>
          <t>Na planilha</t>
        </is>
      </c>
      <c r="K682" s="60" t="n">
        <v>46163</v>
      </c>
      <c r="L682" s="87">
        <f>TEXT(A682,"mmmm")</f>
        <v/>
      </c>
    </row>
    <row r="683">
      <c r="A683" s="60" t="n">
        <v>46154</v>
      </c>
      <c r="B683" s="60" t="n">
        <v>46157</v>
      </c>
      <c r="C683" s="60" t="n">
        <v>46160</v>
      </c>
      <c r="D683" s="87" t="inlineStr">
        <is>
          <t>CLAYTON BATISTA DOS SANTOS</t>
        </is>
      </c>
      <c r="E683" s="87" t="inlineStr">
        <is>
          <t>Suhai</t>
        </is>
      </c>
      <c r="F683" s="87" t="inlineStr">
        <is>
          <t>John</t>
        </is>
      </c>
      <c r="G683" s="87" t="inlineStr">
        <is>
          <t>M</t>
        </is>
      </c>
      <c r="H683" s="78" t="n">
        <v>5511987865877</v>
      </c>
      <c r="I683" s="87" t="inlineStr">
        <is>
          <t>Novo</t>
        </is>
      </c>
      <c r="J683" s="87" t="inlineStr">
        <is>
          <t>Assinado</t>
        </is>
      </c>
      <c r="K683" s="60" t="n">
        <v>46163</v>
      </c>
      <c r="L683" s="87">
        <f>TEXT(A683,"mmmm")</f>
        <v/>
      </c>
    </row>
    <row r="684">
      <c r="A684" s="60" t="n">
        <v>46154</v>
      </c>
      <c r="B684" s="60" t="n">
        <v>46157</v>
      </c>
      <c r="C684" s="60" t="n">
        <v>46160</v>
      </c>
      <c r="D684" s="87" t="inlineStr">
        <is>
          <t>CLAYTON BATISTA DOS SANTOS</t>
        </is>
      </c>
      <c r="E684" s="87" t="inlineStr">
        <is>
          <t>Suhai</t>
        </is>
      </c>
      <c r="F684" s="87" t="inlineStr">
        <is>
          <t>John</t>
        </is>
      </c>
      <c r="G684" s="87" t="inlineStr">
        <is>
          <t>M</t>
        </is>
      </c>
      <c r="H684" s="78" t="n">
        <v>5511987865877</v>
      </c>
      <c r="I684" s="87" t="inlineStr">
        <is>
          <t>Renovação</t>
        </is>
      </c>
      <c r="J684" s="87" t="inlineStr">
        <is>
          <t>Assinado</t>
        </is>
      </c>
      <c r="K684" s="60" t="n">
        <v>46163</v>
      </c>
      <c r="L684" s="87">
        <f>TEXT(A684,"mmmm")</f>
        <v/>
      </c>
    </row>
    <row r="685">
      <c r="A685" s="60" t="n">
        <v>46154</v>
      </c>
      <c r="B685" s="60" t="n">
        <v>46157</v>
      </c>
      <c r="C685" s="60" t="n">
        <v>46160</v>
      </c>
      <c r="D685" s="87" t="inlineStr">
        <is>
          <t>MS SUPRIMENTOS LTDA</t>
        </is>
      </c>
      <c r="E685" s="87" t="inlineStr">
        <is>
          <t>Suhai</t>
        </is>
      </c>
      <c r="F685" s="87" t="inlineStr">
        <is>
          <t>John</t>
        </is>
      </c>
      <c r="G685" s="87" t="inlineStr">
        <is>
          <t>M</t>
        </is>
      </c>
      <c r="H685" s="78" t="n">
        <v>5511973041936</v>
      </c>
      <c r="I685" s="87" t="inlineStr">
        <is>
          <t>Novo</t>
        </is>
      </c>
      <c r="J685" s="87" t="inlineStr">
        <is>
          <t>Assinado</t>
        </is>
      </c>
      <c r="K685" s="60" t="n">
        <v>46163</v>
      </c>
      <c r="L685" s="87">
        <f>TEXT(A685,"mmmm")</f>
        <v/>
      </c>
    </row>
    <row r="686">
      <c r="A686" s="60" t="n">
        <v>46155</v>
      </c>
      <c r="B686" s="60" t="n">
        <v>46158</v>
      </c>
      <c r="C686" s="60" t="n">
        <v>46161</v>
      </c>
      <c r="D686" s="87" t="inlineStr">
        <is>
          <t>RONNI DOS SANTOS PORCELANI</t>
        </is>
      </c>
      <c r="E686" s="87" t="inlineStr">
        <is>
          <t>Allianz</t>
        </is>
      </c>
      <c r="F686" s="87" t="inlineStr">
        <is>
          <t>Leticia</t>
        </is>
      </c>
      <c r="G686" s="87" t="inlineStr">
        <is>
          <t>F</t>
        </is>
      </c>
      <c r="H686" s="78" t="n">
        <v>5511957853006</v>
      </c>
      <c r="I686" s="87" t="inlineStr">
        <is>
          <t>Novo</t>
        </is>
      </c>
      <c r="J686" s="87" t="inlineStr">
        <is>
          <t>Assinado</t>
        </is>
      </c>
      <c r="K686" s="60" t="n">
        <v>46164</v>
      </c>
      <c r="L686" s="87">
        <f>TEXT(A686,"mmmm")</f>
        <v/>
      </c>
    </row>
    <row r="687">
      <c r="A687" s="60" t="n">
        <v>46154</v>
      </c>
      <c r="B687" s="60" t="n">
        <v>46157</v>
      </c>
      <c r="C687" s="60" t="n">
        <v>46160</v>
      </c>
      <c r="D687" s="87" t="inlineStr">
        <is>
          <t>RAFAEL LOCATI TEIXEIRA</t>
        </is>
      </c>
      <c r="E687" s="87" t="inlineStr">
        <is>
          <t>Allianz</t>
        </is>
      </c>
      <c r="F687" s="87" t="inlineStr">
        <is>
          <t>Leticia</t>
        </is>
      </c>
      <c r="G687" s="87" t="inlineStr">
        <is>
          <t>F</t>
        </is>
      </c>
      <c r="H687" s="78" t="n">
        <v>5511957853006</v>
      </c>
      <c r="I687" s="87" t="inlineStr">
        <is>
          <t>Novo</t>
        </is>
      </c>
      <c r="J687" s="87" t="inlineStr">
        <is>
          <t>Na planilha</t>
        </is>
      </c>
      <c r="K687" s="60" t="n">
        <v>46163</v>
      </c>
      <c r="L687" s="87">
        <f>TEXT(A687,"mmmm")</f>
        <v/>
      </c>
    </row>
    <row r="688">
      <c r="A688" s="60" t="n">
        <v>46154</v>
      </c>
      <c r="B688" s="60" t="n">
        <v>46157</v>
      </c>
      <c r="C688" s="60" t="n">
        <v>46160</v>
      </c>
      <c r="D688" s="87" t="inlineStr">
        <is>
          <t>JOSE GILVAN DE CARVALHO DINIZ</t>
        </is>
      </c>
      <c r="E688" s="87" t="inlineStr">
        <is>
          <t>Azul</t>
        </is>
      </c>
      <c r="F688" s="87" t="inlineStr">
        <is>
          <t>John</t>
        </is>
      </c>
      <c r="G688" s="87" t="inlineStr">
        <is>
          <t>M</t>
        </is>
      </c>
      <c r="H688" s="78" t="n">
        <v>5511985075420</v>
      </c>
      <c r="I688" s="87" t="inlineStr">
        <is>
          <t>Novo</t>
        </is>
      </c>
      <c r="J688" s="87" t="inlineStr">
        <is>
          <t>Cancelado</t>
        </is>
      </c>
      <c r="K688" s="60" t="n">
        <v>46163</v>
      </c>
      <c r="L688" s="87">
        <f>TEXT(A688,"mmmm")</f>
        <v/>
      </c>
    </row>
    <row r="689">
      <c r="A689" s="60" t="n">
        <v>46154</v>
      </c>
      <c r="B689" s="60" t="n">
        <v>46157</v>
      </c>
      <c r="C689" s="60" t="n">
        <v>46160</v>
      </c>
      <c r="D689" s="87" t="inlineStr">
        <is>
          <t>VICTOR HUGO MEDEIROS CAVALCANTE</t>
        </is>
      </c>
      <c r="E689" s="87" t="inlineStr">
        <is>
          <t>Azul</t>
        </is>
      </c>
      <c r="F689" s="87" t="inlineStr">
        <is>
          <t>John</t>
        </is>
      </c>
      <c r="G689" s="87" t="inlineStr">
        <is>
          <t>M</t>
        </is>
      </c>
      <c r="H689" s="78" t="n">
        <v>5511945162431</v>
      </c>
      <c r="I689" s="87" t="inlineStr">
        <is>
          <t>Novo</t>
        </is>
      </c>
      <c r="J689" s="87" t="inlineStr">
        <is>
          <t>Assinado</t>
        </is>
      </c>
      <c r="K689" s="60" t="n">
        <v>46163</v>
      </c>
      <c r="L689" s="87">
        <f>TEXT(A689,"mmmm")</f>
        <v/>
      </c>
    </row>
    <row r="690">
      <c r="A690" s="60" t="n">
        <v>46154</v>
      </c>
      <c r="B690" s="60" t="n">
        <v>46157</v>
      </c>
      <c r="C690" s="60" t="n">
        <v>46160</v>
      </c>
      <c r="D690" s="87" t="inlineStr">
        <is>
          <t>ADAILTON CARDOSO DA SILVA</t>
        </is>
      </c>
      <c r="E690" s="87" t="inlineStr">
        <is>
          <t>Tokio</t>
        </is>
      </c>
      <c r="F690" s="87" t="inlineStr">
        <is>
          <t>Myrelle</t>
        </is>
      </c>
      <c r="G690" s="87" t="inlineStr">
        <is>
          <t>F</t>
        </is>
      </c>
      <c r="H690" s="78" t="n">
        <v>5512997587792</v>
      </c>
      <c r="I690" s="87" t="inlineStr">
        <is>
          <t>Novo</t>
        </is>
      </c>
      <c r="J690" s="87" t="inlineStr">
        <is>
          <t>Assinado</t>
        </is>
      </c>
      <c r="K690" s="60" t="n">
        <v>46163</v>
      </c>
      <c r="L690" s="87">
        <f>TEXT(A690,"mmmm")</f>
        <v/>
      </c>
    </row>
    <row r="691">
      <c r="A691" s="60" t="n">
        <v>46154</v>
      </c>
      <c r="B691" s="60" t="n">
        <v>46157</v>
      </c>
      <c r="C691" s="60" t="n">
        <v>46160</v>
      </c>
      <c r="D691" s="87" t="inlineStr">
        <is>
          <t>CARLOS ANDRE XAVIER DA CRUZ</t>
        </is>
      </c>
      <c r="E691" s="87" t="inlineStr">
        <is>
          <t>Bradesco</t>
        </is>
      </c>
      <c r="F691" s="87" t="inlineStr">
        <is>
          <t>John</t>
        </is>
      </c>
      <c r="G691" s="87" t="inlineStr">
        <is>
          <t>M</t>
        </is>
      </c>
      <c r="H691" s="78" t="n">
        <v>5511940069539</v>
      </c>
      <c r="I691" s="87" t="inlineStr">
        <is>
          <t>Renovação</t>
        </is>
      </c>
      <c r="J691" s="87" t="inlineStr">
        <is>
          <t>Assinado</t>
        </is>
      </c>
      <c r="K691" s="60" t="n">
        <v>46163</v>
      </c>
      <c r="L691" s="87">
        <f>TEXT(A691,"mmmm")</f>
        <v/>
      </c>
    </row>
    <row r="692">
      <c r="A692" s="60" t="n">
        <v>46154</v>
      </c>
      <c r="B692" s="60" t="n">
        <v>46157</v>
      </c>
      <c r="C692" s="60" t="n">
        <v>46160</v>
      </c>
      <c r="D692" s="87" t="inlineStr">
        <is>
          <t>CICERO PEREIRA DOS SANTOS</t>
        </is>
      </c>
      <c r="E692" s="87" t="inlineStr">
        <is>
          <t>HDI</t>
        </is>
      </c>
      <c r="F692" s="87" t="inlineStr">
        <is>
          <t>Leticia</t>
        </is>
      </c>
      <c r="G692" s="87" t="inlineStr">
        <is>
          <t>F</t>
        </is>
      </c>
      <c r="H692" s="78" t="n">
        <v>5511946225118</v>
      </c>
      <c r="I692" s="87" t="inlineStr">
        <is>
          <t>Renovação</t>
        </is>
      </c>
      <c r="J692" s="87" t="inlineStr">
        <is>
          <t>Assinado</t>
        </is>
      </c>
      <c r="K692" s="60" t="n">
        <v>46163</v>
      </c>
      <c r="L692" s="87">
        <f>TEXT(A692,"mmmm")</f>
        <v/>
      </c>
    </row>
    <row r="693">
      <c r="A693" s="60" t="n">
        <v>46155</v>
      </c>
      <c r="B693" s="60" t="n">
        <v>46158</v>
      </c>
      <c r="C693" s="60" t="n">
        <v>46161</v>
      </c>
      <c r="D693" s="87" t="inlineStr">
        <is>
          <t>CLAUDEMIR DA SILVA BATISTA</t>
        </is>
      </c>
      <c r="E693" s="87" t="inlineStr">
        <is>
          <t>Tokio</t>
        </is>
      </c>
      <c r="F693" s="87" t="inlineStr">
        <is>
          <t>Leticia</t>
        </is>
      </c>
      <c r="G693" s="87" t="inlineStr">
        <is>
          <t>F</t>
        </is>
      </c>
      <c r="H693" s="78" t="n">
        <v>5511976171649</v>
      </c>
      <c r="I693" s="87" t="inlineStr">
        <is>
          <t>Novo</t>
        </is>
      </c>
      <c r="J693" s="87" t="inlineStr">
        <is>
          <t>Na planilha</t>
        </is>
      </c>
      <c r="K693" s="60" t="n">
        <v>46164</v>
      </c>
      <c r="L693" s="87">
        <f>TEXT(A693,"mmmm")</f>
        <v/>
      </c>
    </row>
    <row r="694">
      <c r="A694" s="60" t="n">
        <v>46155</v>
      </c>
      <c r="B694" s="60" t="n">
        <v>46158</v>
      </c>
      <c r="C694" s="60" t="n">
        <v>46161</v>
      </c>
      <c r="D694" s="87" t="inlineStr">
        <is>
          <t>JORGE LUIS CONCEICAO</t>
        </is>
      </c>
      <c r="E694" s="87" t="inlineStr">
        <is>
          <t>Tokio</t>
        </is>
      </c>
      <c r="F694" s="87" t="inlineStr">
        <is>
          <t>Jacqueline</t>
        </is>
      </c>
      <c r="G694" s="87" t="inlineStr">
        <is>
          <t>F</t>
        </is>
      </c>
      <c r="H694" s="78" t="n">
        <v>5513997496744</v>
      </c>
      <c r="I694" s="87" t="inlineStr">
        <is>
          <t>Novo</t>
        </is>
      </c>
      <c r="J694" s="87" t="inlineStr">
        <is>
          <t>Assinado</t>
        </is>
      </c>
      <c r="K694" s="60" t="n">
        <v>46164</v>
      </c>
      <c r="L694" s="87">
        <f>TEXT(A694,"mmmm")</f>
        <v/>
      </c>
    </row>
    <row r="695">
      <c r="A695" s="60" t="n">
        <v>46155</v>
      </c>
      <c r="B695" s="60" t="n">
        <v>46158</v>
      </c>
      <c r="C695" s="60" t="n">
        <v>46161</v>
      </c>
      <c r="D695" s="87" t="inlineStr">
        <is>
          <t>TALITA CRISTINA DA SILVA</t>
        </is>
      </c>
      <c r="E695" s="87" t="inlineStr">
        <is>
          <t>Porto</t>
        </is>
      </c>
      <c r="F695" s="87" t="inlineStr">
        <is>
          <t>Jacqueline</t>
        </is>
      </c>
      <c r="G695" s="87" t="inlineStr">
        <is>
          <t>F</t>
        </is>
      </c>
      <c r="H695" s="78" t="n">
        <v>5534996734335</v>
      </c>
      <c r="I695" s="87" t="inlineStr">
        <is>
          <t>Novo</t>
        </is>
      </c>
      <c r="J695" s="87" t="inlineStr">
        <is>
          <t>Assinado</t>
        </is>
      </c>
      <c r="K695" s="60" t="n">
        <v>46164</v>
      </c>
      <c r="L695" s="87">
        <f>TEXT(A695,"mmmm")</f>
        <v/>
      </c>
    </row>
    <row r="696">
      <c r="A696" s="60" t="n">
        <v>46155</v>
      </c>
      <c r="B696" s="60" t="n">
        <v>46158</v>
      </c>
      <c r="C696" s="60" t="n">
        <v>46161</v>
      </c>
      <c r="D696" s="87" t="inlineStr">
        <is>
          <t>MARIA DAS GRACAS BRITO DE LIMA</t>
        </is>
      </c>
      <c r="E696" s="87" t="inlineStr">
        <is>
          <t>Allianz</t>
        </is>
      </c>
      <c r="F696" s="87" t="inlineStr">
        <is>
          <t>John</t>
        </is>
      </c>
      <c r="G696" s="87" t="inlineStr">
        <is>
          <t>M</t>
        </is>
      </c>
      <c r="H696" s="78" t="n">
        <v>5511993853813</v>
      </c>
      <c r="I696" s="87" t="inlineStr">
        <is>
          <t>Novo</t>
        </is>
      </c>
      <c r="J696" s="87" t="inlineStr">
        <is>
          <t>Assinado</t>
        </is>
      </c>
      <c r="K696" s="60" t="n">
        <v>46164</v>
      </c>
      <c r="L696" s="87">
        <f>TEXT(A696,"mmmm")</f>
        <v/>
      </c>
    </row>
    <row r="697">
      <c r="A697" s="60" t="n">
        <v>46155</v>
      </c>
      <c r="B697" s="60" t="n">
        <v>46158</v>
      </c>
      <c r="C697" s="60" t="n">
        <v>46161</v>
      </c>
      <c r="D697" s="87" t="inlineStr">
        <is>
          <t>ANTONIO VAZ DA SILVA</t>
        </is>
      </c>
      <c r="E697" s="87" t="inlineStr">
        <is>
          <t>Azul</t>
        </is>
      </c>
      <c r="F697" s="87" t="inlineStr">
        <is>
          <t>John</t>
        </is>
      </c>
      <c r="G697" s="87" t="inlineStr">
        <is>
          <t>M</t>
        </is>
      </c>
      <c r="H697" s="78" t="n">
        <v>5511991444809</v>
      </c>
      <c r="I697" s="87" t="inlineStr">
        <is>
          <t>Novo</t>
        </is>
      </c>
      <c r="J697" s="87" t="inlineStr">
        <is>
          <t>Assinado</t>
        </is>
      </c>
      <c r="K697" s="60" t="n">
        <v>46164</v>
      </c>
      <c r="L697" s="87">
        <f>TEXT(A697,"mmmm")</f>
        <v/>
      </c>
    </row>
    <row r="698">
      <c r="A698" s="60" t="n">
        <v>46155</v>
      </c>
      <c r="B698" s="60" t="n">
        <v>46158</v>
      </c>
      <c r="C698" s="60" t="n">
        <v>46161</v>
      </c>
      <c r="D698" s="87" t="inlineStr">
        <is>
          <t>SIDNEY CASCIALLI ROSA</t>
        </is>
      </c>
      <c r="E698" s="87" t="inlineStr">
        <is>
          <t>Azul</t>
        </is>
      </c>
      <c r="F698" s="87" t="inlineStr">
        <is>
          <t>John</t>
        </is>
      </c>
      <c r="G698" s="87" t="inlineStr">
        <is>
          <t>M</t>
        </is>
      </c>
      <c r="H698" s="78" t="n">
        <v>5512997266629</v>
      </c>
      <c r="I698" s="87" t="inlineStr">
        <is>
          <t>Novo</t>
        </is>
      </c>
      <c r="J698" s="87" t="inlineStr">
        <is>
          <t>Assinado</t>
        </is>
      </c>
      <c r="K698" s="60" t="n">
        <v>46164</v>
      </c>
      <c r="L698" s="87">
        <f>TEXT(A698,"mmmm")</f>
        <v/>
      </c>
    </row>
    <row r="699">
      <c r="A699" s="60" t="n">
        <v>46155</v>
      </c>
      <c r="B699" s="60" t="n">
        <v>46158</v>
      </c>
      <c r="C699" s="60" t="n">
        <v>46161</v>
      </c>
      <c r="D699" s="87" t="inlineStr">
        <is>
          <t>JOSE DE SOUZA PRATES</t>
        </is>
      </c>
      <c r="E699" s="87" t="inlineStr">
        <is>
          <t>Porto</t>
        </is>
      </c>
      <c r="F699" s="87" t="inlineStr">
        <is>
          <t>John</t>
        </is>
      </c>
      <c r="G699" s="87" t="inlineStr">
        <is>
          <t>M</t>
        </is>
      </c>
      <c r="H699" s="78" t="n">
        <v>5511981886964</v>
      </c>
      <c r="I699" s="87" t="inlineStr">
        <is>
          <t>Renovação</t>
        </is>
      </c>
      <c r="J699" s="87" t="inlineStr">
        <is>
          <t>Na planilha</t>
        </is>
      </c>
      <c r="K699" s="60" t="n">
        <v>46164</v>
      </c>
      <c r="L699" s="87">
        <f>TEXT(A699,"mmmm")</f>
        <v/>
      </c>
    </row>
    <row r="700">
      <c r="A700" s="60" t="n">
        <v>46155</v>
      </c>
      <c r="B700" s="60" t="n">
        <v>46158</v>
      </c>
      <c r="C700" s="60" t="n">
        <v>46161</v>
      </c>
      <c r="D700" s="87" t="inlineStr">
        <is>
          <t>FATIMA ABDOUNI</t>
        </is>
      </c>
      <c r="E700" s="87" t="inlineStr">
        <is>
          <t>Tokio</t>
        </is>
      </c>
      <c r="F700" s="87" t="inlineStr">
        <is>
          <t>John</t>
        </is>
      </c>
      <c r="G700" s="87" t="inlineStr">
        <is>
          <t>M</t>
        </is>
      </c>
      <c r="H700" s="78" t="n">
        <v>5511994987136</v>
      </c>
      <c r="I700" s="87" t="inlineStr">
        <is>
          <t>Renovação</t>
        </is>
      </c>
      <c r="J700" s="87" t="inlineStr">
        <is>
          <t>Assinado</t>
        </is>
      </c>
      <c r="K700" s="60" t="n">
        <v>46164</v>
      </c>
      <c r="L700" s="87">
        <f>TEXT(A700,"mmmm")</f>
        <v/>
      </c>
    </row>
    <row r="701">
      <c r="A701" s="60" t="n">
        <v>46155</v>
      </c>
      <c r="B701" s="60" t="n">
        <v>46158</v>
      </c>
      <c r="C701" s="60" t="n">
        <v>46161</v>
      </c>
      <c r="D701" s="87" t="inlineStr">
        <is>
          <t>NILTON JESUS DOS SANTOS</t>
        </is>
      </c>
      <c r="E701" s="87" t="inlineStr">
        <is>
          <t>Tokio</t>
        </is>
      </c>
      <c r="F701" s="87" t="inlineStr">
        <is>
          <t>Leticia</t>
        </is>
      </c>
      <c r="G701" s="87" t="inlineStr">
        <is>
          <t>F</t>
        </is>
      </c>
      <c r="H701" s="78" t="n">
        <v>5511976179540</v>
      </c>
      <c r="I701" s="87" t="inlineStr">
        <is>
          <t>Novo</t>
        </is>
      </c>
      <c r="J701" s="87" t="inlineStr">
        <is>
          <t>Assinado</t>
        </is>
      </c>
      <c r="K701" s="60" t="n">
        <v>46164</v>
      </c>
      <c r="L701" s="87">
        <f>TEXT(A701,"mmmm")</f>
        <v/>
      </c>
    </row>
    <row r="702">
      <c r="A702" s="60" t="n">
        <v>46155</v>
      </c>
      <c r="B702" s="60" t="n">
        <v>46158</v>
      </c>
      <c r="C702" s="60" t="n">
        <v>46161</v>
      </c>
      <c r="D702" s="87" t="inlineStr">
        <is>
          <t>MICHELLE ALCANTARA PEREIRA DOS SANTOS</t>
        </is>
      </c>
      <c r="E702" s="87" t="inlineStr">
        <is>
          <t>Suhai</t>
        </is>
      </c>
      <c r="F702" s="87" t="inlineStr">
        <is>
          <t>Leticia</t>
        </is>
      </c>
      <c r="G702" s="87" t="inlineStr">
        <is>
          <t>F</t>
        </is>
      </c>
      <c r="H702" s="78" t="n">
        <v>5511941131888</v>
      </c>
      <c r="I702" s="87" t="inlineStr">
        <is>
          <t>Novo</t>
        </is>
      </c>
      <c r="J702" s="87" t="inlineStr">
        <is>
          <t>Assinado</t>
        </is>
      </c>
      <c r="K702" s="60" t="n">
        <v>46164</v>
      </c>
      <c r="L702" s="87">
        <f>TEXT(A702,"mmmm")</f>
        <v/>
      </c>
    </row>
    <row r="703">
      <c r="A703" s="60" t="n">
        <v>46156</v>
      </c>
      <c r="B703" s="60" t="n">
        <v>46159</v>
      </c>
      <c r="C703" s="60" t="n">
        <v>46162</v>
      </c>
      <c r="D703" s="87" t="inlineStr">
        <is>
          <t>APARECIDA SUELI DAVI SEVERIANO</t>
        </is>
      </c>
      <c r="E703" s="87" t="inlineStr">
        <is>
          <t>Azul</t>
        </is>
      </c>
      <c r="F703" s="87" t="inlineStr">
        <is>
          <t>Leticia</t>
        </is>
      </c>
      <c r="G703" s="87" t="inlineStr">
        <is>
          <t>F</t>
        </is>
      </c>
      <c r="H703" s="78" t="n">
        <v>5513996737300</v>
      </c>
      <c r="I703" s="87" t="inlineStr">
        <is>
          <t>Novo</t>
        </is>
      </c>
      <c r="J703" s="87" t="inlineStr">
        <is>
          <t>Assinado</t>
        </is>
      </c>
      <c r="K703" s="60" t="n">
        <v>46165</v>
      </c>
      <c r="L703" s="87">
        <f>TEXT(A703,"mmmm")</f>
        <v/>
      </c>
    </row>
    <row r="704">
      <c r="A704" s="60" t="n">
        <v>46156</v>
      </c>
      <c r="B704" s="60" t="n">
        <v>46159</v>
      </c>
      <c r="C704" s="60" t="n">
        <v>46162</v>
      </c>
      <c r="D704" s="87" t="inlineStr">
        <is>
          <t>MARINA POLTRONIERI MOLINA</t>
        </is>
      </c>
      <c r="E704" s="87" t="inlineStr">
        <is>
          <t>Azul</t>
        </is>
      </c>
      <c r="F704" s="87" t="inlineStr">
        <is>
          <t>Leticia</t>
        </is>
      </c>
      <c r="G704" s="87" t="inlineStr">
        <is>
          <t>F</t>
        </is>
      </c>
      <c r="H704" s="78" t="n">
        <v>5516992989590</v>
      </c>
      <c r="I704" s="87" t="inlineStr">
        <is>
          <t>Novo</t>
        </is>
      </c>
      <c r="J704" s="87" t="inlineStr">
        <is>
          <t>Assinado</t>
        </is>
      </c>
      <c r="K704" s="60" t="n">
        <v>46165</v>
      </c>
      <c r="L704" s="87">
        <f>TEXT(A704,"mmmm")</f>
        <v/>
      </c>
    </row>
    <row r="705">
      <c r="A705" s="60" t="n">
        <v>46156</v>
      </c>
      <c r="B705" s="60" t="n">
        <v>46159</v>
      </c>
      <c r="C705" s="60" t="n">
        <v>46162</v>
      </c>
      <c r="D705" s="87" t="inlineStr">
        <is>
          <t>MARCIEL DOS SANTOS</t>
        </is>
      </c>
      <c r="E705" s="87" t="inlineStr">
        <is>
          <t>Suhai</t>
        </is>
      </c>
      <c r="F705" s="87" t="inlineStr">
        <is>
          <t>John</t>
        </is>
      </c>
      <c r="G705" s="87" t="inlineStr">
        <is>
          <t>M</t>
        </is>
      </c>
      <c r="H705" s="78" t="n">
        <v>5511940074109</v>
      </c>
      <c r="I705" s="87" t="inlineStr">
        <is>
          <t>Renovação</t>
        </is>
      </c>
      <c r="J705" s="87" t="inlineStr">
        <is>
          <t>Assinado</t>
        </is>
      </c>
      <c r="K705" s="60" t="n">
        <v>46165</v>
      </c>
      <c r="L705" s="87">
        <f>TEXT(A705,"mmmm")</f>
        <v/>
      </c>
    </row>
    <row r="706">
      <c r="A706" s="60" t="n">
        <v>46156</v>
      </c>
      <c r="B706" s="60" t="n">
        <v>46159</v>
      </c>
      <c r="C706" s="60" t="n">
        <v>46162</v>
      </c>
      <c r="D706" s="87" t="inlineStr">
        <is>
          <t>EDMILSON DE SOUZA GOMES</t>
        </is>
      </c>
      <c r="E706" s="87" t="inlineStr">
        <is>
          <t>Mapfre</t>
        </is>
      </c>
      <c r="F706" s="87" t="inlineStr">
        <is>
          <t>John</t>
        </is>
      </c>
      <c r="G706" s="87" t="inlineStr">
        <is>
          <t>M</t>
        </is>
      </c>
      <c r="H706" s="78" t="n">
        <v>5519983559963</v>
      </c>
      <c r="I706" s="87" t="inlineStr">
        <is>
          <t>Novo</t>
        </is>
      </c>
      <c r="J706" s="87" t="inlineStr">
        <is>
          <t>Assinado</t>
        </is>
      </c>
      <c r="K706" s="60" t="n">
        <v>46165</v>
      </c>
      <c r="L706" s="87">
        <f>TEXT(A706,"mmmm")</f>
        <v/>
      </c>
    </row>
    <row r="707">
      <c r="A707" s="60" t="n">
        <v>46156</v>
      </c>
      <c r="B707" s="60" t="n">
        <v>46159</v>
      </c>
      <c r="C707" s="60" t="n">
        <v>46162</v>
      </c>
      <c r="D707" s="87" t="inlineStr">
        <is>
          <t>GEAN GONCALVES COELHO</t>
        </is>
      </c>
      <c r="E707" s="87" t="inlineStr">
        <is>
          <t>Suhai</t>
        </is>
      </c>
      <c r="F707" s="87" t="inlineStr">
        <is>
          <t>John</t>
        </is>
      </c>
      <c r="G707" s="87" t="inlineStr">
        <is>
          <t>M</t>
        </is>
      </c>
      <c r="H707" s="78" t="n">
        <v>5511998412568</v>
      </c>
      <c r="I707" s="87" t="inlineStr">
        <is>
          <t>Renovação</t>
        </is>
      </c>
      <c r="J707" s="87" t="inlineStr">
        <is>
          <t>Assinado</t>
        </is>
      </c>
      <c r="K707" s="60" t="n">
        <v>46165</v>
      </c>
      <c r="L707" s="87">
        <f>TEXT(A707,"mmmm")</f>
        <v/>
      </c>
    </row>
    <row r="708">
      <c r="A708" s="60" t="n">
        <v>46156</v>
      </c>
      <c r="B708" s="60" t="n">
        <v>46159</v>
      </c>
      <c r="C708" s="60" t="n">
        <v>46162</v>
      </c>
      <c r="D708" s="87" t="inlineStr">
        <is>
          <t>FABIO KLIPPEL</t>
        </is>
      </c>
      <c r="E708" s="87" t="inlineStr">
        <is>
          <t>Mapfre</t>
        </is>
      </c>
      <c r="F708" s="87" t="inlineStr">
        <is>
          <t>Jacqueline</t>
        </is>
      </c>
      <c r="G708" s="87" t="inlineStr">
        <is>
          <t>F</t>
        </is>
      </c>
      <c r="H708" s="78" t="n">
        <v>5551959944803</v>
      </c>
      <c r="I708" s="87" t="inlineStr">
        <is>
          <t>Novo</t>
        </is>
      </c>
      <c r="J708" s="87" t="inlineStr">
        <is>
          <t>Na planilha</t>
        </is>
      </c>
      <c r="K708" s="60" t="n">
        <v>46165</v>
      </c>
      <c r="L708" s="87">
        <f>TEXT(A708,"mmmm")</f>
        <v/>
      </c>
    </row>
    <row r="709">
      <c r="A709" s="60" t="n">
        <v>46156</v>
      </c>
      <c r="B709" s="60" t="n">
        <v>46159</v>
      </c>
      <c r="C709" s="60" t="n">
        <v>46162</v>
      </c>
      <c r="D709" s="87" t="inlineStr">
        <is>
          <t>EDSON CEZARIO DIAS</t>
        </is>
      </c>
      <c r="E709" s="87" t="inlineStr">
        <is>
          <t>Suhai</t>
        </is>
      </c>
      <c r="F709" s="87" t="inlineStr">
        <is>
          <t>Leticia</t>
        </is>
      </c>
      <c r="G709" s="87" t="inlineStr">
        <is>
          <t>F</t>
        </is>
      </c>
      <c r="H709" s="78" t="n">
        <v>551983285780</v>
      </c>
      <c r="I709" s="87" t="inlineStr">
        <is>
          <t>Novo</t>
        </is>
      </c>
      <c r="J709" s="87" t="inlineStr">
        <is>
          <t>Assinado</t>
        </is>
      </c>
      <c r="K709" s="60" t="n">
        <v>46165</v>
      </c>
      <c r="L709" s="87">
        <f>TEXT(A709,"mmmm")</f>
        <v/>
      </c>
    </row>
    <row r="710">
      <c r="A710" s="60" t="n">
        <v>46156</v>
      </c>
      <c r="B710" s="60" t="n">
        <v>46159</v>
      </c>
      <c r="C710" s="60" t="n">
        <v>46162</v>
      </c>
      <c r="D710" s="87" t="inlineStr">
        <is>
          <t>CARLIANE MARIA DE SANTANA SILVA</t>
        </is>
      </c>
      <c r="E710" s="87" t="inlineStr">
        <is>
          <t>Porto</t>
        </is>
      </c>
      <c r="F710" s="87" t="inlineStr">
        <is>
          <t>Isabella</t>
        </is>
      </c>
      <c r="G710" s="87" t="inlineStr">
        <is>
          <t>F</t>
        </is>
      </c>
      <c r="H710" s="78" t="n">
        <v>5519991308132</v>
      </c>
      <c r="I710" s="87" t="inlineStr">
        <is>
          <t>Novo</t>
        </is>
      </c>
      <c r="J710" s="87" t="inlineStr">
        <is>
          <t>Assinado</t>
        </is>
      </c>
      <c r="K710" s="60" t="n">
        <v>46165</v>
      </c>
      <c r="L710" s="87">
        <f>TEXT(A710,"mmmm")</f>
        <v/>
      </c>
    </row>
    <row r="711">
      <c r="A711" s="60" t="n">
        <v>46156</v>
      </c>
      <c r="B711" s="60" t="n">
        <v>46159</v>
      </c>
      <c r="C711" s="60" t="n">
        <v>46162</v>
      </c>
      <c r="D711" s="87" t="inlineStr">
        <is>
          <t>ARLINDO DOMINGUES</t>
        </is>
      </c>
      <c r="E711" s="87" t="inlineStr">
        <is>
          <t>Porto</t>
        </is>
      </c>
      <c r="F711" s="87" t="inlineStr">
        <is>
          <t>Isabella</t>
        </is>
      </c>
      <c r="G711" s="87" t="inlineStr">
        <is>
          <t>F</t>
        </is>
      </c>
      <c r="H711" s="78" t="n">
        <v>5519991400035</v>
      </c>
      <c r="I711" s="87" t="inlineStr">
        <is>
          <t>Novo</t>
        </is>
      </c>
      <c r="J711" s="87" t="inlineStr">
        <is>
          <t>Erro</t>
        </is>
      </c>
      <c r="K711" s="60" t="n">
        <v>46165</v>
      </c>
      <c r="L711" s="87">
        <f>TEXT(A711,"mmmm")</f>
        <v/>
      </c>
    </row>
    <row r="712">
      <c r="A712" s="60" t="n">
        <v>46157</v>
      </c>
      <c r="B712" s="60" t="n">
        <v>46160</v>
      </c>
      <c r="C712" s="60" t="n">
        <v>46163</v>
      </c>
      <c r="D712" s="87" t="inlineStr">
        <is>
          <t>EVERTON MONTEIRO DE SOUZA</t>
        </is>
      </c>
      <c r="E712" s="87" t="inlineStr">
        <is>
          <t>Porto</t>
        </is>
      </c>
      <c r="F712" s="87" t="inlineStr">
        <is>
          <t>John</t>
        </is>
      </c>
      <c r="G712" s="87" t="inlineStr">
        <is>
          <t>M</t>
        </is>
      </c>
      <c r="H712" s="78" t="n">
        <v>5511959921871</v>
      </c>
      <c r="I712" s="87" t="inlineStr">
        <is>
          <t>Novo</t>
        </is>
      </c>
      <c r="J712" s="87" t="inlineStr">
        <is>
          <t>Assinado</t>
        </is>
      </c>
      <c r="K712" s="60" t="n">
        <v>46166</v>
      </c>
      <c r="L712" s="87">
        <f>TEXT(A712,"mmmm")</f>
        <v/>
      </c>
    </row>
    <row r="713">
      <c r="A713" s="60" t="n">
        <v>46157</v>
      </c>
      <c r="B713" s="60" t="n">
        <v>46160</v>
      </c>
      <c r="C713" s="60" t="n">
        <v>46163</v>
      </c>
      <c r="D713" s="87" t="inlineStr">
        <is>
          <t>EVERTON MONTEIRO DE SOUZA</t>
        </is>
      </c>
      <c r="E713" s="87" t="inlineStr">
        <is>
          <t>Suhai</t>
        </is>
      </c>
      <c r="F713" s="87" t="inlineStr">
        <is>
          <t>John</t>
        </is>
      </c>
      <c r="G713" s="87" t="inlineStr">
        <is>
          <t>M</t>
        </is>
      </c>
      <c r="H713" s="78" t="n">
        <v>5511959921871</v>
      </c>
      <c r="I713" s="87" t="inlineStr">
        <is>
          <t>Novo</t>
        </is>
      </c>
      <c r="J713" s="87" t="inlineStr">
        <is>
          <t>Assinado</t>
        </is>
      </c>
      <c r="K713" s="60" t="n">
        <v>46166</v>
      </c>
      <c r="L713" s="87">
        <f>TEXT(A713,"mmmm")</f>
        <v/>
      </c>
    </row>
    <row r="714">
      <c r="A714" s="60" t="n">
        <v>46157</v>
      </c>
      <c r="B714" s="60" t="n">
        <v>46160</v>
      </c>
      <c r="C714" s="60" t="n">
        <v>46163</v>
      </c>
      <c r="D714" s="87" t="inlineStr">
        <is>
          <t>JOSE GILVAN DE CARVALHO DINIZ</t>
        </is>
      </c>
      <c r="E714" s="87" t="inlineStr">
        <is>
          <t>Azul</t>
        </is>
      </c>
      <c r="F714" s="87" t="inlineStr">
        <is>
          <t>John</t>
        </is>
      </c>
      <c r="G714" s="87" t="inlineStr">
        <is>
          <t>M</t>
        </is>
      </c>
      <c r="H714" s="78" t="n">
        <v>5511985075420</v>
      </c>
      <c r="I714" s="87" t="inlineStr">
        <is>
          <t>Novo</t>
        </is>
      </c>
      <c r="J714" s="87" t="inlineStr">
        <is>
          <t>Assinado</t>
        </is>
      </c>
      <c r="K714" s="60" t="n">
        <v>46166</v>
      </c>
      <c r="L714" s="87">
        <f>TEXT(A714,"mmmm")</f>
        <v/>
      </c>
    </row>
    <row r="715">
      <c r="A715" s="60" t="n">
        <v>46157</v>
      </c>
      <c r="B715" s="60" t="n">
        <v>46160</v>
      </c>
      <c r="C715" s="60" t="n">
        <v>46163</v>
      </c>
      <c r="D715" s="87" t="inlineStr">
        <is>
          <t>FIRMINO CANDIDO DOS ANJOS NETO</t>
        </is>
      </c>
      <c r="E715" s="87" t="inlineStr">
        <is>
          <t>Azul</t>
        </is>
      </c>
      <c r="F715" s="87" t="inlineStr">
        <is>
          <t>John</t>
        </is>
      </c>
      <c r="G715" s="87" t="inlineStr">
        <is>
          <t>M</t>
        </is>
      </c>
      <c r="H715" s="78" t="n">
        <v>5511919180196</v>
      </c>
      <c r="I715" s="87" t="inlineStr">
        <is>
          <t>Novo</t>
        </is>
      </c>
      <c r="J715" s="87" t="inlineStr">
        <is>
          <t>Cancelado</t>
        </is>
      </c>
      <c r="K715" s="60" t="n">
        <v>46166</v>
      </c>
      <c r="L715" s="87">
        <f>TEXT(A715,"mmmm")</f>
        <v/>
      </c>
    </row>
    <row r="716">
      <c r="A716" s="60" t="n">
        <v>46157</v>
      </c>
      <c r="B716" s="60" t="n">
        <v>46160</v>
      </c>
      <c r="C716" s="60" t="n">
        <v>46163</v>
      </c>
      <c r="D716" s="87" t="inlineStr">
        <is>
          <t>REGINA LUISA FERNANDES BARROS ALVES</t>
        </is>
      </c>
      <c r="E716" s="87" t="inlineStr">
        <is>
          <t>Porto</t>
        </is>
      </c>
      <c r="F716" s="87" t="inlineStr">
        <is>
          <t>John</t>
        </is>
      </c>
      <c r="G716" s="87" t="inlineStr">
        <is>
          <t>M</t>
        </is>
      </c>
      <c r="H716" s="78" t="n">
        <v>5511949414959</v>
      </c>
      <c r="I716" s="87" t="inlineStr">
        <is>
          <t>Novo</t>
        </is>
      </c>
      <c r="J716" s="87" t="inlineStr">
        <is>
          <t>Assinado</t>
        </is>
      </c>
      <c r="K716" s="60" t="n">
        <v>46166</v>
      </c>
      <c r="L716" s="87">
        <f>TEXT(A716,"mmmm")</f>
        <v/>
      </c>
    </row>
    <row r="717">
      <c r="A717" s="60" t="n">
        <v>46157</v>
      </c>
      <c r="B717" s="60" t="n">
        <v>46160</v>
      </c>
      <c r="C717" s="60" t="n">
        <v>46163</v>
      </c>
      <c r="D717" s="87" t="inlineStr">
        <is>
          <t>MARIA ELISA MATEUS</t>
        </is>
      </c>
      <c r="E717" s="87" t="inlineStr">
        <is>
          <t>Porto</t>
        </is>
      </c>
      <c r="F717" s="87" t="inlineStr">
        <is>
          <t>John</t>
        </is>
      </c>
      <c r="G717" s="87" t="inlineStr">
        <is>
          <t>M</t>
        </is>
      </c>
      <c r="H717" s="78" t="n">
        <v>5511986097742</v>
      </c>
      <c r="I717" s="87" t="inlineStr">
        <is>
          <t>Renovação</t>
        </is>
      </c>
      <c r="J717" s="87" t="inlineStr">
        <is>
          <t>Assinado</t>
        </is>
      </c>
      <c r="K717" s="60" t="n">
        <v>46166</v>
      </c>
      <c r="L717" s="87">
        <f>TEXT(A717,"mmmm")</f>
        <v/>
      </c>
    </row>
    <row r="718">
      <c r="A718" s="60" t="n">
        <v>46157</v>
      </c>
      <c r="B718" s="60" t="n">
        <v>46160</v>
      </c>
      <c r="C718" s="60" t="n">
        <v>46163</v>
      </c>
      <c r="D718" s="87" t="inlineStr">
        <is>
          <t>SAMANTA LIMA DE DEUS</t>
        </is>
      </c>
      <c r="E718" s="87" t="inlineStr">
        <is>
          <t>Azul</t>
        </is>
      </c>
      <c r="F718" s="87" t="inlineStr">
        <is>
          <t>Jacqueline</t>
        </is>
      </c>
      <c r="G718" s="87" t="inlineStr">
        <is>
          <t>F</t>
        </is>
      </c>
      <c r="H718" s="78" t="n">
        <v>5551997605884</v>
      </c>
      <c r="I718" s="87" t="inlineStr">
        <is>
          <t>Novo</t>
        </is>
      </c>
      <c r="J718" s="87" t="inlineStr">
        <is>
          <t>Assinado</t>
        </is>
      </c>
      <c r="K718" s="60" t="n">
        <v>46166</v>
      </c>
      <c r="L718" s="87">
        <f>TEXT(A718,"mmmm")</f>
        <v/>
      </c>
    </row>
    <row r="719">
      <c r="A719" s="60" t="n">
        <v>46157</v>
      </c>
      <c r="B719" s="60" t="n">
        <v>46160</v>
      </c>
      <c r="C719" s="60" t="n">
        <v>46163</v>
      </c>
      <c r="D719" s="87" t="inlineStr">
        <is>
          <t>CELENIS MONTMORENCY BORGHI DE ARAUJO</t>
        </is>
      </c>
      <c r="E719" s="87" t="inlineStr">
        <is>
          <t>Azul</t>
        </is>
      </c>
      <c r="F719" s="87" t="inlineStr">
        <is>
          <t>Jacqueline</t>
        </is>
      </c>
      <c r="G719" s="87" t="inlineStr">
        <is>
          <t>F</t>
        </is>
      </c>
      <c r="H719" s="78" t="n">
        <v>5511966350584</v>
      </c>
      <c r="I719" s="87" t="inlineStr">
        <is>
          <t>Novo</t>
        </is>
      </c>
      <c r="J719" s="87" t="inlineStr">
        <is>
          <t>Assinado</t>
        </is>
      </c>
      <c r="K719" s="60" t="n">
        <v>46166</v>
      </c>
      <c r="L719" s="87">
        <f>TEXT(A719,"mmmm")</f>
        <v/>
      </c>
    </row>
    <row r="720">
      <c r="A720" s="60" t="n">
        <v>46157</v>
      </c>
      <c r="B720" s="60" t="n">
        <v>46160</v>
      </c>
      <c r="C720" s="60" t="n">
        <v>46163</v>
      </c>
      <c r="D720" s="87" t="inlineStr">
        <is>
          <t>GASPAR JOSE DA SILVA</t>
        </is>
      </c>
      <c r="E720" s="87" t="inlineStr">
        <is>
          <t>Azul</t>
        </is>
      </c>
      <c r="F720" s="87" t="inlineStr">
        <is>
          <t>John</t>
        </is>
      </c>
      <c r="G720" s="87" t="inlineStr">
        <is>
          <t>M</t>
        </is>
      </c>
      <c r="H720" s="78" t="n">
        <v>5516988747432</v>
      </c>
      <c r="I720" s="87" t="inlineStr">
        <is>
          <t>Novo</t>
        </is>
      </c>
      <c r="J720" s="87" t="inlineStr">
        <is>
          <t>Assinado</t>
        </is>
      </c>
      <c r="K720" s="60" t="n">
        <v>46166</v>
      </c>
      <c r="L720" s="87">
        <f>TEXT(A720,"mmmm")</f>
        <v/>
      </c>
    </row>
    <row r="721">
      <c r="A721" s="60" t="n">
        <v>46157</v>
      </c>
      <c r="B721" s="60" t="n">
        <v>46160</v>
      </c>
      <c r="C721" s="60" t="n">
        <v>46163</v>
      </c>
      <c r="D721" s="87" t="inlineStr">
        <is>
          <t xml:space="preserve">JACKSON LANZILOTI JUNIOR </t>
        </is>
      </c>
      <c r="E721" s="87" t="inlineStr">
        <is>
          <t>Azul</t>
        </is>
      </c>
      <c r="F721" s="87" t="inlineStr">
        <is>
          <t>Isabella</t>
        </is>
      </c>
      <c r="G721" s="87" t="inlineStr">
        <is>
          <t>F</t>
        </is>
      </c>
      <c r="H721" s="78" t="n">
        <v>5511932250726</v>
      </c>
      <c r="I721" s="87" t="inlineStr">
        <is>
          <t>Novo</t>
        </is>
      </c>
      <c r="J721" s="87" t="inlineStr">
        <is>
          <t>Assinado</t>
        </is>
      </c>
      <c r="K721" s="60" t="n">
        <v>46166</v>
      </c>
      <c r="L721" s="87">
        <f>TEXT(A721,"mmmm")</f>
        <v/>
      </c>
    </row>
    <row r="722">
      <c r="A722" s="60" t="n">
        <v>46160</v>
      </c>
      <c r="B722" s="60" t="n">
        <v>46163</v>
      </c>
      <c r="C722" s="60" t="n">
        <v>46166</v>
      </c>
      <c r="D722" s="87" t="inlineStr">
        <is>
          <t>RODRIGO CARDOZO DE OLIVEIRA</t>
        </is>
      </c>
      <c r="E722" s="87" t="inlineStr">
        <is>
          <t>Mapfre</t>
        </is>
      </c>
      <c r="F722" s="87" t="inlineStr">
        <is>
          <t>Jéssica</t>
        </is>
      </c>
      <c r="G722" s="87" t="inlineStr">
        <is>
          <t>F</t>
        </is>
      </c>
      <c r="H722" s="78" t="n">
        <v>5517988185239</v>
      </c>
      <c r="I722" s="87" t="inlineStr">
        <is>
          <t>Novo</t>
        </is>
      </c>
      <c r="J722" s="87" t="inlineStr">
        <is>
          <t>Assinado</t>
        </is>
      </c>
      <c r="K722" s="60" t="n">
        <v>46169</v>
      </c>
      <c r="L722" s="87">
        <f>TEXT(A722,"mmmm")</f>
        <v/>
      </c>
    </row>
    <row r="723">
      <c r="A723" s="60" t="n">
        <v>46160</v>
      </c>
      <c r="B723" s="60" t="n">
        <v>46163</v>
      </c>
      <c r="C723" s="60" t="n">
        <v>46166</v>
      </c>
      <c r="D723" s="87" t="inlineStr">
        <is>
          <t>ANDRE GOMES THIVES</t>
        </is>
      </c>
      <c r="E723" s="87" t="inlineStr">
        <is>
          <t>Mapfre</t>
        </is>
      </c>
      <c r="F723" s="87" t="inlineStr">
        <is>
          <t>Jéssica</t>
        </is>
      </c>
      <c r="G723" s="87" t="inlineStr">
        <is>
          <t>F</t>
        </is>
      </c>
      <c r="H723" s="78" t="n">
        <v>5519993875080</v>
      </c>
      <c r="I723" s="87" t="inlineStr">
        <is>
          <t>Novo</t>
        </is>
      </c>
      <c r="J723" s="87" t="inlineStr">
        <is>
          <t>Assinado</t>
        </is>
      </c>
      <c r="K723" s="60" t="n">
        <v>46169</v>
      </c>
      <c r="L723" s="87">
        <f>TEXT(A723,"mmmm")</f>
        <v/>
      </c>
    </row>
    <row r="724">
      <c r="A724" s="60" t="n">
        <v>46160</v>
      </c>
      <c r="B724" s="60" t="n">
        <v>46163</v>
      </c>
      <c r="C724" s="60" t="n">
        <v>46166</v>
      </c>
      <c r="D724" s="87" t="inlineStr">
        <is>
          <t>JOSE SUELDO DE SOUSA NASCIMENTO</t>
        </is>
      </c>
      <c r="E724" s="87" t="inlineStr">
        <is>
          <t>Tokio</t>
        </is>
      </c>
      <c r="F724" s="87" t="inlineStr">
        <is>
          <t>Myrelle</t>
        </is>
      </c>
      <c r="G724" s="87" t="inlineStr">
        <is>
          <t>F</t>
        </is>
      </c>
      <c r="H724" s="78" t="n">
        <v>5513974110711</v>
      </c>
      <c r="I724" s="87" t="inlineStr">
        <is>
          <t>Novo</t>
        </is>
      </c>
      <c r="J724" s="87" t="inlineStr">
        <is>
          <t>Assinado</t>
        </is>
      </c>
      <c r="K724" s="60" t="n">
        <v>46169</v>
      </c>
      <c r="L724" s="87">
        <f>TEXT(A724,"mmmm")</f>
        <v/>
      </c>
    </row>
    <row r="725">
      <c r="A725" s="60" t="n">
        <v>46160</v>
      </c>
      <c r="B725" s="60" t="n">
        <v>46163</v>
      </c>
      <c r="C725" s="60" t="n">
        <v>46166</v>
      </c>
      <c r="D725" s="87" t="inlineStr">
        <is>
          <t>CARLOS ANTONIO DE MEDEIROS JUNIOR</t>
        </is>
      </c>
      <c r="E725" s="87" t="inlineStr">
        <is>
          <t>Azul</t>
        </is>
      </c>
      <c r="F725" s="87" t="inlineStr">
        <is>
          <t>Enzo</t>
        </is>
      </c>
      <c r="G725" s="87" t="inlineStr">
        <is>
          <t>M</t>
        </is>
      </c>
      <c r="H725" s="78" t="n">
        <v>5511941741615</v>
      </c>
      <c r="I725" s="87" t="inlineStr">
        <is>
          <t>Novo</t>
        </is>
      </c>
      <c r="J725" s="87" t="inlineStr">
        <is>
          <t>Assinado</t>
        </is>
      </c>
      <c r="K725" s="60" t="n">
        <v>46169</v>
      </c>
      <c r="L725" s="87">
        <f>TEXT(A725,"mmmm")</f>
        <v/>
      </c>
    </row>
    <row r="726">
      <c r="A726" s="60" t="n">
        <v>46160</v>
      </c>
      <c r="B726" s="60" t="n">
        <v>46163</v>
      </c>
      <c r="C726" s="60" t="n">
        <v>46166</v>
      </c>
      <c r="D726" s="87" t="inlineStr">
        <is>
          <t>JOICI MARIA CAVALCANTE SANTOS</t>
        </is>
      </c>
      <c r="E726" s="87" t="inlineStr">
        <is>
          <t>Allianz</t>
        </is>
      </c>
      <c r="F726" s="87" t="inlineStr">
        <is>
          <t>Isabella</t>
        </is>
      </c>
      <c r="G726" s="87" t="inlineStr">
        <is>
          <t>F</t>
        </is>
      </c>
      <c r="H726" s="78" t="n">
        <v>5511982427196</v>
      </c>
      <c r="I726" s="87" t="inlineStr">
        <is>
          <t>Novo</t>
        </is>
      </c>
      <c r="J726" s="87" t="inlineStr">
        <is>
          <t>Assinado</t>
        </is>
      </c>
      <c r="K726" s="60" t="n">
        <v>46169</v>
      </c>
      <c r="L726" s="87">
        <f>TEXT(A726,"mmmm")</f>
        <v/>
      </c>
    </row>
    <row r="727">
      <c r="A727" s="60" t="n">
        <v>46160</v>
      </c>
      <c r="B727" s="60" t="n">
        <v>46163</v>
      </c>
      <c r="C727" s="60" t="n">
        <v>46166</v>
      </c>
      <c r="D727" s="87" t="inlineStr">
        <is>
          <t>ROBSON DOMINGOS</t>
        </is>
      </c>
      <c r="E727" s="87" t="inlineStr">
        <is>
          <t>Mapfre</t>
        </is>
      </c>
      <c r="F727" s="87" t="inlineStr">
        <is>
          <t>Isabella</t>
        </is>
      </c>
      <c r="G727" s="87" t="inlineStr">
        <is>
          <t>F</t>
        </is>
      </c>
      <c r="H727" s="78" t="n">
        <v>5519984098987</v>
      </c>
      <c r="I727" s="87" t="inlineStr">
        <is>
          <t>Novo</t>
        </is>
      </c>
      <c r="J727" s="87" t="inlineStr">
        <is>
          <t>Assinado</t>
        </is>
      </c>
      <c r="K727" s="60" t="n">
        <v>46169</v>
      </c>
      <c r="L727" s="87">
        <f>TEXT(A727,"mmmm")</f>
        <v/>
      </c>
    </row>
    <row r="728">
      <c r="A728" s="60" t="n">
        <v>46160</v>
      </c>
      <c r="B728" s="60" t="n">
        <v>46163</v>
      </c>
      <c r="C728" s="60" t="n">
        <v>46166</v>
      </c>
      <c r="D728" s="87" t="inlineStr">
        <is>
          <t>ROSENILDO SANTOS DE LIMA</t>
        </is>
      </c>
      <c r="E728" s="87" t="inlineStr">
        <is>
          <t>Azul</t>
        </is>
      </c>
      <c r="F728" s="87" t="inlineStr">
        <is>
          <t>Isabella</t>
        </is>
      </c>
      <c r="G728" s="87" t="inlineStr">
        <is>
          <t>F</t>
        </is>
      </c>
      <c r="H728" s="78" t="n">
        <v>5511959616083</v>
      </c>
      <c r="I728" s="87" t="inlineStr">
        <is>
          <t>Novo</t>
        </is>
      </c>
      <c r="J728" s="87" t="inlineStr">
        <is>
          <t>Assinado</t>
        </is>
      </c>
      <c r="K728" s="60" t="n">
        <v>46169</v>
      </c>
      <c r="L728" s="87">
        <f>TEXT(A728,"mmmm")</f>
        <v/>
      </c>
    </row>
    <row r="729">
      <c r="A729" s="60" t="n">
        <v>46160</v>
      </c>
      <c r="B729" s="60" t="n">
        <v>46163</v>
      </c>
      <c r="C729" s="60" t="n">
        <v>46166</v>
      </c>
      <c r="D729" s="87" t="inlineStr">
        <is>
          <t>DIANE DE CASTRO SILVA</t>
        </is>
      </c>
      <c r="E729" s="87" t="inlineStr">
        <is>
          <t>Tokio</t>
        </is>
      </c>
      <c r="F729" s="87" t="inlineStr">
        <is>
          <t>John</t>
        </is>
      </c>
      <c r="G729" s="87" t="inlineStr">
        <is>
          <t>M</t>
        </is>
      </c>
      <c r="H729" s="78" t="n">
        <v>5513997477172</v>
      </c>
      <c r="I729" s="87" t="inlineStr">
        <is>
          <t>Novo</t>
        </is>
      </c>
      <c r="J729" s="87" t="inlineStr">
        <is>
          <t>Assinado</t>
        </is>
      </c>
      <c r="K729" s="60" t="n">
        <v>46169</v>
      </c>
      <c r="L729" s="87">
        <f>TEXT(A729,"mmmm")</f>
        <v/>
      </c>
    </row>
    <row r="730">
      <c r="A730" s="60" t="n">
        <v>46160</v>
      </c>
      <c r="B730" s="60" t="n">
        <v>46163</v>
      </c>
      <c r="C730" s="60" t="n">
        <v>46166</v>
      </c>
      <c r="D730" s="87" t="inlineStr">
        <is>
          <t>ANTONIO MARCOS DA SILVA</t>
        </is>
      </c>
      <c r="E730" s="87" t="inlineStr">
        <is>
          <t>Tokio</t>
        </is>
      </c>
      <c r="F730" s="87" t="inlineStr">
        <is>
          <t>Jéssica</t>
        </is>
      </c>
      <c r="G730" s="87" t="inlineStr">
        <is>
          <t>F</t>
        </is>
      </c>
      <c r="H730" s="78" t="n">
        <v>5517981085742</v>
      </c>
      <c r="I730" s="87" t="inlineStr">
        <is>
          <t>Novo</t>
        </is>
      </c>
      <c r="J730" s="87" t="inlineStr">
        <is>
          <t>Assinado</t>
        </is>
      </c>
      <c r="K730" s="60" t="n">
        <v>46169</v>
      </c>
      <c r="L730" s="87">
        <f>TEXT(A730,"mmmm")</f>
        <v/>
      </c>
    </row>
    <row r="731">
      <c r="A731" s="60" t="n">
        <v>46161</v>
      </c>
      <c r="B731" s="60" t="n">
        <v>46164</v>
      </c>
      <c r="C731" s="60" t="n">
        <v>46167</v>
      </c>
      <c r="D731" s="87" t="inlineStr">
        <is>
          <t>NILTON SERGIO DA MATA VIEIRA</t>
        </is>
      </c>
      <c r="E731" s="87" t="inlineStr">
        <is>
          <t>Suhai</t>
        </is>
      </c>
      <c r="F731" s="87" t="inlineStr">
        <is>
          <t>Jéssica</t>
        </is>
      </c>
      <c r="G731" s="87" t="inlineStr">
        <is>
          <t>F</t>
        </is>
      </c>
      <c r="H731" s="76" t="n">
        <v>5511975215664</v>
      </c>
      <c r="I731" s="87" t="inlineStr">
        <is>
          <t>Novo</t>
        </is>
      </c>
      <c r="J731" s="87" t="inlineStr">
        <is>
          <t>Assinado</t>
        </is>
      </c>
      <c r="K731" s="60" t="n">
        <v>46170</v>
      </c>
      <c r="L731" s="87">
        <f>TEXT(A731,"mmmm")</f>
        <v/>
      </c>
    </row>
    <row r="732">
      <c r="A732" s="60" t="n">
        <v>46161</v>
      </c>
      <c r="B732" s="60" t="n">
        <v>46164</v>
      </c>
      <c r="C732" s="60" t="n">
        <v>46167</v>
      </c>
      <c r="D732" s="87" t="inlineStr">
        <is>
          <t>ELIANA FRANCISCA DOS SANTOS BATISTA</t>
        </is>
      </c>
      <c r="E732" s="87" t="inlineStr">
        <is>
          <t>Azul</t>
        </is>
      </c>
      <c r="F732" s="87" t="inlineStr">
        <is>
          <t>Jacqueline</t>
        </is>
      </c>
      <c r="G732" s="87" t="inlineStr">
        <is>
          <t>F</t>
        </is>
      </c>
      <c r="H732" s="78" t="n">
        <v>5531987047152</v>
      </c>
      <c r="I732" s="87" t="inlineStr">
        <is>
          <t>Novo</t>
        </is>
      </c>
      <c r="J732" s="87" t="inlineStr">
        <is>
          <t>Assinado</t>
        </is>
      </c>
      <c r="K732" s="60" t="n">
        <v>46170</v>
      </c>
      <c r="L732" s="87">
        <f>TEXT(A732,"mmmm")</f>
        <v/>
      </c>
    </row>
    <row r="733">
      <c r="A733" s="60" t="n">
        <v>46161</v>
      </c>
      <c r="B733" s="60" t="n">
        <v>46164</v>
      </c>
      <c r="C733" s="60" t="n">
        <v>46167</v>
      </c>
      <c r="D733" s="87" t="inlineStr">
        <is>
          <t>ADAILSON LOPES DOS SANTOS</t>
        </is>
      </c>
      <c r="E733" s="87" t="inlineStr">
        <is>
          <t>Mapfre</t>
        </is>
      </c>
      <c r="F733" s="87" t="inlineStr">
        <is>
          <t>Leticia</t>
        </is>
      </c>
      <c r="G733" s="87" t="inlineStr">
        <is>
          <t>F</t>
        </is>
      </c>
      <c r="H733" s="78" t="n">
        <v>5516988519603</v>
      </c>
      <c r="I733" s="87" t="inlineStr">
        <is>
          <t>Novo</t>
        </is>
      </c>
      <c r="J733" s="87" t="inlineStr">
        <is>
          <t>Assinado(manual)</t>
        </is>
      </c>
      <c r="K733" s="60" t="n">
        <v>46170</v>
      </c>
      <c r="L733" s="87">
        <f>TEXT(A733,"mmmm")</f>
        <v/>
      </c>
    </row>
    <row r="734">
      <c r="A734" s="60" t="n">
        <v>46161</v>
      </c>
      <c r="B734" s="60" t="n">
        <v>46164</v>
      </c>
      <c r="C734" s="60" t="n">
        <v>46167</v>
      </c>
      <c r="D734" s="87" t="inlineStr">
        <is>
          <t>RAFAEL DIAS GOMES</t>
        </is>
      </c>
      <c r="E734" s="87" t="inlineStr">
        <is>
          <t>Suhai</t>
        </is>
      </c>
      <c r="F734" s="87" t="inlineStr">
        <is>
          <t>Leticia</t>
        </is>
      </c>
      <c r="G734" s="87" t="inlineStr">
        <is>
          <t>F</t>
        </is>
      </c>
      <c r="H734" s="78" t="n">
        <v>5511952443003</v>
      </c>
      <c r="I734" s="87" t="inlineStr">
        <is>
          <t>Renovação</t>
        </is>
      </c>
      <c r="J734" s="87" t="inlineStr">
        <is>
          <t>Assinado</t>
        </is>
      </c>
      <c r="K734" s="60" t="n">
        <v>46170</v>
      </c>
      <c r="L734" s="87">
        <f>TEXT(A734,"mmmm")</f>
        <v/>
      </c>
    </row>
    <row r="735">
      <c r="A735" s="60" t="n">
        <v>46161</v>
      </c>
      <c r="B735" s="60" t="n">
        <v>46164</v>
      </c>
      <c r="C735" s="60" t="n">
        <v>46167</v>
      </c>
      <c r="D735" s="87" t="inlineStr">
        <is>
          <t>FABRICIO DANTAS FELIX</t>
        </is>
      </c>
      <c r="E735" s="87" t="inlineStr">
        <is>
          <t>Suhai</t>
        </is>
      </c>
      <c r="F735" s="87" t="inlineStr">
        <is>
          <t>Leticia</t>
        </is>
      </c>
      <c r="G735" s="87" t="inlineStr">
        <is>
          <t>F</t>
        </is>
      </c>
      <c r="H735" s="78" t="n">
        <v>5511958917636</v>
      </c>
      <c r="I735" s="87" t="inlineStr">
        <is>
          <t>Novo</t>
        </is>
      </c>
      <c r="J735" s="87" t="inlineStr">
        <is>
          <t>Na planilha</t>
        </is>
      </c>
      <c r="K735" s="60" t="n">
        <v>46170</v>
      </c>
      <c r="L735" s="87">
        <f>TEXT(A735,"mmmm")</f>
        <v/>
      </c>
    </row>
    <row r="736">
      <c r="A736" s="60" t="n">
        <v>46161</v>
      </c>
      <c r="B736" s="60" t="n">
        <v>46164</v>
      </c>
      <c r="C736" s="60" t="n">
        <v>46167</v>
      </c>
      <c r="D736" s="87" t="inlineStr">
        <is>
          <t>CLAUDIO FERNANDES DE OLIVEIRA</t>
        </is>
      </c>
      <c r="E736" s="87" t="inlineStr">
        <is>
          <t>Azul</t>
        </is>
      </c>
      <c r="F736" s="87" t="inlineStr">
        <is>
          <t>John</t>
        </is>
      </c>
      <c r="G736" s="87" t="inlineStr">
        <is>
          <t>M</t>
        </is>
      </c>
      <c r="H736" s="78" t="n">
        <v>5511982117888</v>
      </c>
      <c r="I736" s="87" t="inlineStr">
        <is>
          <t>Renovação</t>
        </is>
      </c>
      <c r="J736" s="87" t="inlineStr">
        <is>
          <t>Na planilha</t>
        </is>
      </c>
      <c r="K736" s="60" t="n">
        <v>46170</v>
      </c>
      <c r="L736" s="87">
        <f>TEXT(A736,"mmmm")</f>
        <v/>
      </c>
    </row>
    <row r="737">
      <c r="A737" s="60" t="n">
        <v>46161</v>
      </c>
      <c r="B737" s="60" t="n">
        <v>46164</v>
      </c>
      <c r="C737" s="60" t="n">
        <v>46167</v>
      </c>
      <c r="D737" s="87" t="inlineStr">
        <is>
          <t>DOUGLAS DA COSTA VASCONCELOS</t>
        </is>
      </c>
      <c r="E737" s="87" t="inlineStr">
        <is>
          <t>Tokio</t>
        </is>
      </c>
      <c r="F737" s="87" t="inlineStr">
        <is>
          <t>John</t>
        </is>
      </c>
      <c r="G737" s="87" t="inlineStr">
        <is>
          <t>M</t>
        </is>
      </c>
      <c r="H737" s="78" t="n">
        <v>5511994413199</v>
      </c>
      <c r="I737" s="87" t="inlineStr">
        <is>
          <t>Novo</t>
        </is>
      </c>
      <c r="J737" s="87" t="inlineStr">
        <is>
          <t>Assinado</t>
        </is>
      </c>
      <c r="K737" s="60" t="n">
        <v>46170</v>
      </c>
      <c r="L737" s="87">
        <f>TEXT(A737,"mmmm")</f>
        <v/>
      </c>
    </row>
    <row r="738">
      <c r="A738" s="60" t="n">
        <v>46161</v>
      </c>
      <c r="B738" s="60" t="n">
        <v>46164</v>
      </c>
      <c r="C738" s="60" t="n">
        <v>46167</v>
      </c>
      <c r="D738" s="87" t="inlineStr">
        <is>
          <t>FIRMINO CANDIDO DOS ANJOS NETO</t>
        </is>
      </c>
      <c r="E738" s="87" t="inlineStr">
        <is>
          <t>Azul</t>
        </is>
      </c>
      <c r="F738" s="87" t="inlineStr">
        <is>
          <t>John</t>
        </is>
      </c>
      <c r="G738" s="87" t="inlineStr">
        <is>
          <t>M</t>
        </is>
      </c>
      <c r="H738" s="78" t="n">
        <v>5511919180196</v>
      </c>
      <c r="I738" s="87" t="inlineStr">
        <is>
          <t>Novo</t>
        </is>
      </c>
      <c r="J738" s="87" t="inlineStr">
        <is>
          <t>Na planilha</t>
        </is>
      </c>
      <c r="K738" s="60" t="n">
        <v>46170</v>
      </c>
      <c r="L738" s="87">
        <f>TEXT(A738,"mmmm")</f>
        <v/>
      </c>
    </row>
    <row r="739">
      <c r="A739" s="60" t="n">
        <v>46161</v>
      </c>
      <c r="B739" s="60" t="n">
        <v>46164</v>
      </c>
      <c r="C739" s="60" t="n">
        <v>46167</v>
      </c>
      <c r="D739" s="87" t="inlineStr">
        <is>
          <t>FLOR DE MANDACARU BUFFET E EVENTOS CORPORATIVOS LTDA</t>
        </is>
      </c>
      <c r="E739" s="87" t="inlineStr">
        <is>
          <t>Suhai</t>
        </is>
      </c>
      <c r="F739" s="87" t="inlineStr">
        <is>
          <t>John</t>
        </is>
      </c>
      <c r="G739" s="87" t="inlineStr">
        <is>
          <t>M</t>
        </is>
      </c>
      <c r="H739" s="78" t="n">
        <v>5511991713071</v>
      </c>
      <c r="I739" s="87" t="inlineStr">
        <is>
          <t>Novo</t>
        </is>
      </c>
      <c r="J739" s="87" t="inlineStr">
        <is>
          <t>Assinado</t>
        </is>
      </c>
      <c r="K739" s="60" t="n">
        <v>46170</v>
      </c>
      <c r="L739" s="87">
        <f>TEXT(A739,"mmmm")</f>
        <v/>
      </c>
    </row>
    <row r="740">
      <c r="A740" s="60" t="n">
        <v>46161</v>
      </c>
      <c r="B740" s="60" t="n">
        <v>46164</v>
      </c>
      <c r="C740" s="60" t="n">
        <v>46167</v>
      </c>
      <c r="D740" s="87" t="inlineStr">
        <is>
          <t>WAGNER FERREIRA DE OLIVEIRA</t>
        </is>
      </c>
      <c r="E740" s="87" t="inlineStr">
        <is>
          <t>Tokio</t>
        </is>
      </c>
      <c r="F740" s="87" t="inlineStr">
        <is>
          <t>John</t>
        </is>
      </c>
      <c r="G740" s="87" t="inlineStr">
        <is>
          <t>M</t>
        </is>
      </c>
      <c r="H740" s="78" t="n">
        <v>5511972961232</v>
      </c>
      <c r="I740" s="87" t="inlineStr">
        <is>
          <t>Novo</t>
        </is>
      </c>
      <c r="J740" s="87" t="inlineStr">
        <is>
          <t>Assinado</t>
        </is>
      </c>
      <c r="K740" s="60" t="n">
        <v>46170</v>
      </c>
      <c r="L740" s="87">
        <f>TEXT(A740,"mmmm")</f>
        <v/>
      </c>
    </row>
    <row r="741">
      <c r="A741" s="60" t="n">
        <v>46161</v>
      </c>
      <c r="B741" s="60" t="n">
        <v>46164</v>
      </c>
      <c r="C741" s="60" t="n">
        <v>46167</v>
      </c>
      <c r="D741" s="87" t="inlineStr">
        <is>
          <t>WALLACE CORREA PEREIRA BAHIA</t>
        </is>
      </c>
      <c r="E741" s="87" t="inlineStr">
        <is>
          <t>Mapfre</t>
        </is>
      </c>
      <c r="F741" s="87" t="inlineStr">
        <is>
          <t>John</t>
        </is>
      </c>
      <c r="G741" s="87" t="inlineStr">
        <is>
          <t>M</t>
        </is>
      </c>
      <c r="H741" s="78" t="n">
        <v>5512982997884</v>
      </c>
      <c r="I741" s="87" t="inlineStr">
        <is>
          <t>Novo</t>
        </is>
      </c>
      <c r="J741" s="87" t="inlineStr">
        <is>
          <t>Assinado</t>
        </is>
      </c>
      <c r="K741" s="60" t="n">
        <v>46170</v>
      </c>
      <c r="L741" s="87">
        <f>TEXT(A741,"mmmm")</f>
        <v/>
      </c>
    </row>
    <row r="742">
      <c r="A742" s="60" t="n">
        <v>46162</v>
      </c>
      <c r="B742" s="60" t="n">
        <v>46165</v>
      </c>
      <c r="C742" s="60" t="n">
        <v>46168</v>
      </c>
      <c r="D742" s="87" t="inlineStr">
        <is>
          <t>MARIA VITORIA DE REZENDE ALVES CAVALCANTE</t>
        </is>
      </c>
      <c r="E742" s="87" t="inlineStr">
        <is>
          <t>Azul</t>
        </is>
      </c>
      <c r="F742" s="87" t="inlineStr">
        <is>
          <t>John</t>
        </is>
      </c>
      <c r="G742" s="87" t="inlineStr">
        <is>
          <t>M</t>
        </is>
      </c>
      <c r="H742" s="78" t="n">
        <v>5511957379168</v>
      </c>
      <c r="I742" s="87" t="inlineStr">
        <is>
          <t>Novo</t>
        </is>
      </c>
      <c r="J742" s="87" t="inlineStr">
        <is>
          <t>Assinado</t>
        </is>
      </c>
      <c r="K742" s="60" t="n">
        <v>46171</v>
      </c>
      <c r="L742" s="87">
        <f>TEXT(A742,"mmmm")</f>
        <v/>
      </c>
    </row>
    <row r="743">
      <c r="A743" s="60" t="n">
        <v>46162</v>
      </c>
      <c r="B743" s="60" t="n">
        <v>46165</v>
      </c>
      <c r="C743" s="60" t="n">
        <v>46168</v>
      </c>
      <c r="D743" s="87" t="inlineStr">
        <is>
          <t>RITA DE CASSIA REZENDE ALVES</t>
        </is>
      </c>
      <c r="E743" s="87" t="inlineStr">
        <is>
          <t>Mapfre</t>
        </is>
      </c>
      <c r="F743" s="87" t="inlineStr">
        <is>
          <t>John</t>
        </is>
      </c>
      <c r="G743" s="87" t="inlineStr">
        <is>
          <t>M</t>
        </is>
      </c>
      <c r="H743" s="78" t="n">
        <v>5511957379168</v>
      </c>
      <c r="I743" s="87" t="inlineStr">
        <is>
          <t>Novo</t>
        </is>
      </c>
      <c r="J743" s="87" t="inlineStr">
        <is>
          <t>Cancelado</t>
        </is>
      </c>
      <c r="K743" s="60" t="n">
        <v>46171</v>
      </c>
      <c r="L743" s="87">
        <f>TEXT(A743,"mmmm")</f>
        <v/>
      </c>
    </row>
    <row r="744">
      <c r="A744" s="60" t="n">
        <v>46162</v>
      </c>
      <c r="B744" s="60" t="n">
        <v>46165</v>
      </c>
      <c r="C744" s="60" t="n">
        <v>46168</v>
      </c>
      <c r="D744" s="87" t="inlineStr">
        <is>
          <t>JOSE CARLOS NOGUEIRA</t>
        </is>
      </c>
      <c r="E744" s="87" t="inlineStr">
        <is>
          <t>Azul</t>
        </is>
      </c>
      <c r="F744" s="87" t="inlineStr">
        <is>
          <t>Leticia</t>
        </is>
      </c>
      <c r="G744" s="87" t="inlineStr">
        <is>
          <t>F</t>
        </is>
      </c>
      <c r="H744" s="78" t="n">
        <v>5511983757324</v>
      </c>
      <c r="I744" s="87" t="inlineStr">
        <is>
          <t>Novo</t>
        </is>
      </c>
      <c r="J744" s="87" t="inlineStr">
        <is>
          <t>Assinado</t>
        </is>
      </c>
      <c r="K744" s="60" t="n">
        <v>46171</v>
      </c>
      <c r="L744" s="87">
        <f>TEXT(A744,"mmmm")</f>
        <v/>
      </c>
    </row>
    <row r="745">
      <c r="A745" s="60" t="n">
        <v>46162</v>
      </c>
      <c r="B745" s="60" t="n">
        <v>46165</v>
      </c>
      <c r="C745" s="60" t="n">
        <v>46168</v>
      </c>
      <c r="D745" s="87" t="inlineStr">
        <is>
          <t>ROGERIO MOREIRA DE MENEZES</t>
        </is>
      </c>
      <c r="E745" s="87" t="inlineStr">
        <is>
          <t>Porto</t>
        </is>
      </c>
      <c r="F745" s="87" t="inlineStr">
        <is>
          <t>Jacqueline</t>
        </is>
      </c>
      <c r="G745" s="87" t="inlineStr">
        <is>
          <t>F</t>
        </is>
      </c>
      <c r="H745" s="78" t="n">
        <v>5511947630089</v>
      </c>
      <c r="I745" s="87" t="inlineStr">
        <is>
          <t>Novo</t>
        </is>
      </c>
      <c r="J745" s="87" t="inlineStr">
        <is>
          <t>Assinado</t>
        </is>
      </c>
      <c r="K745" s="60" t="n">
        <v>46171</v>
      </c>
      <c r="L745" s="87">
        <f>TEXT(A745,"mmmm")</f>
        <v/>
      </c>
    </row>
    <row r="746">
      <c r="A746" s="60" t="n">
        <v>46162</v>
      </c>
      <c r="B746" s="60" t="n">
        <v>46165</v>
      </c>
      <c r="C746" s="60" t="n">
        <v>46168</v>
      </c>
      <c r="D746" s="87" t="inlineStr">
        <is>
          <t>PAULO APARECIDO CAMOES</t>
        </is>
      </c>
      <c r="E746" s="87" t="inlineStr">
        <is>
          <t>Azul</t>
        </is>
      </c>
      <c r="F746" s="87" t="inlineStr">
        <is>
          <t>Myrelle</t>
        </is>
      </c>
      <c r="G746" s="87" t="inlineStr">
        <is>
          <t>F</t>
        </is>
      </c>
      <c r="H746" s="78" t="n">
        <v>5511942559634</v>
      </c>
      <c r="I746" s="87" t="inlineStr">
        <is>
          <t>Novo</t>
        </is>
      </c>
      <c r="J746" s="87" t="inlineStr">
        <is>
          <t>Assinado</t>
        </is>
      </c>
      <c r="K746" s="60" t="n">
        <v>46171</v>
      </c>
      <c r="L746" s="87">
        <f>TEXT(A746,"mmmm")</f>
        <v/>
      </c>
    </row>
    <row r="747">
      <c r="A747" s="60" t="n">
        <v>46162</v>
      </c>
      <c r="B747" s="60" t="n">
        <v>46165</v>
      </c>
      <c r="C747" s="60" t="n">
        <v>46168</v>
      </c>
      <c r="D747" s="87" t="inlineStr">
        <is>
          <t>JACQUELINE FEITEIRO DE QUEIROZ SANTOS</t>
        </is>
      </c>
      <c r="E747" s="87" t="inlineStr">
        <is>
          <t>Porto</t>
        </is>
      </c>
      <c r="F747" s="87" t="inlineStr">
        <is>
          <t>Jacqueline</t>
        </is>
      </c>
      <c r="G747" s="87" t="inlineStr">
        <is>
          <t>F</t>
        </is>
      </c>
      <c r="H747" s="76" t="n">
        <v>5511932328607</v>
      </c>
      <c r="I747" s="87" t="inlineStr">
        <is>
          <t>Novo</t>
        </is>
      </c>
      <c r="J747" s="87" t="inlineStr">
        <is>
          <t>Assinado</t>
        </is>
      </c>
      <c r="K747" s="60" t="n">
        <v>46171</v>
      </c>
      <c r="L747" s="87">
        <f>TEXT(A747,"mmmm")</f>
        <v/>
      </c>
    </row>
    <row r="748">
      <c r="A748" s="60" t="n">
        <v>46162</v>
      </c>
      <c r="B748" s="60" t="n">
        <v>46165</v>
      </c>
      <c r="C748" s="60" t="n">
        <v>46168</v>
      </c>
      <c r="D748" s="87" t="inlineStr">
        <is>
          <t>ANDERSON JOSE DA SILVA</t>
        </is>
      </c>
      <c r="E748" s="87" t="inlineStr">
        <is>
          <t>Suhai</t>
        </is>
      </c>
      <c r="F748" s="87" t="inlineStr">
        <is>
          <t>Isabella</t>
        </is>
      </c>
      <c r="G748" s="87" t="inlineStr">
        <is>
          <t>F</t>
        </is>
      </c>
      <c r="H748" s="78" t="n">
        <v>5511957249211</v>
      </c>
      <c r="I748" s="87" t="inlineStr">
        <is>
          <t>Renovação</t>
        </is>
      </c>
      <c r="J748" s="87" t="inlineStr">
        <is>
          <t>Na planilha</t>
        </is>
      </c>
      <c r="K748" s="60" t="n">
        <v>46171</v>
      </c>
      <c r="L748" s="87">
        <f>TEXT(A748,"mmmm")</f>
        <v/>
      </c>
    </row>
    <row r="749">
      <c r="A749" s="60" t="n">
        <v>46162</v>
      </c>
      <c r="B749" s="60" t="n">
        <v>46165</v>
      </c>
      <c r="C749" s="60" t="n">
        <v>46168</v>
      </c>
      <c r="D749" s="87" t="inlineStr">
        <is>
          <t>ANTONIO COSMO DE ARAUJO</t>
        </is>
      </c>
      <c r="E749" s="87" t="inlineStr">
        <is>
          <t>Azul</t>
        </is>
      </c>
      <c r="F749" s="87" t="inlineStr">
        <is>
          <t>Isabella</t>
        </is>
      </c>
      <c r="G749" s="87" t="inlineStr">
        <is>
          <t>F</t>
        </is>
      </c>
      <c r="H749" s="78" t="n">
        <v>5511999500945</v>
      </c>
      <c r="I749" s="87" t="inlineStr">
        <is>
          <t>Novo</t>
        </is>
      </c>
      <c r="J749" s="87" t="inlineStr">
        <is>
          <t>Assinado(manual)</t>
        </is>
      </c>
      <c r="K749" s="60" t="n">
        <v>46171</v>
      </c>
      <c r="L749" s="87">
        <f>TEXT(A749,"mmmm")</f>
        <v/>
      </c>
    </row>
    <row r="750">
      <c r="A750" s="60" t="n">
        <v>46163</v>
      </c>
      <c r="B750" s="60" t="n">
        <v>46166</v>
      </c>
      <c r="C750" s="60" t="n">
        <v>46169</v>
      </c>
      <c r="D750" s="87" t="inlineStr">
        <is>
          <t>JILBERTO TAVARES</t>
        </is>
      </c>
      <c r="E750" s="87" t="inlineStr">
        <is>
          <t>Tokio</t>
        </is>
      </c>
      <c r="F750" s="87" t="inlineStr">
        <is>
          <t>John</t>
        </is>
      </c>
      <c r="G750" s="87" t="inlineStr">
        <is>
          <t>M</t>
        </is>
      </c>
      <c r="H750" s="78" t="n">
        <v>5511994993879</v>
      </c>
      <c r="I750" s="87" t="inlineStr">
        <is>
          <t>Novo</t>
        </is>
      </c>
      <c r="J750" s="87" t="inlineStr">
        <is>
          <t>Na planilha</t>
        </is>
      </c>
      <c r="K750" s="60" t="n">
        <v>46172</v>
      </c>
      <c r="L750" s="87">
        <f>TEXT(A750,"mmmm")</f>
        <v/>
      </c>
    </row>
    <row r="751">
      <c r="A751" s="60" t="n">
        <v>46163</v>
      </c>
      <c r="B751" s="60" t="n">
        <v>46166</v>
      </c>
      <c r="C751" s="60" t="n">
        <v>46169</v>
      </c>
      <c r="D751" s="87" t="inlineStr">
        <is>
          <t>SARAH CHIAPESAN DE FREITAS</t>
        </is>
      </c>
      <c r="E751" s="87" t="inlineStr">
        <is>
          <t>Tokio</t>
        </is>
      </c>
      <c r="F751" s="87" t="inlineStr">
        <is>
          <t>Enzo</t>
        </is>
      </c>
      <c r="G751" s="87" t="inlineStr">
        <is>
          <t>M</t>
        </is>
      </c>
      <c r="H751" s="78" t="n">
        <v>5511966288975</v>
      </c>
      <c r="I751" s="87" t="inlineStr">
        <is>
          <t>Renovação</t>
        </is>
      </c>
      <c r="J751" s="87" t="inlineStr">
        <is>
          <t>Assinado</t>
        </is>
      </c>
      <c r="K751" s="60" t="n">
        <v>46172</v>
      </c>
      <c r="L751" s="87">
        <f>TEXT(A751,"mmmm")</f>
        <v/>
      </c>
    </row>
    <row r="752">
      <c r="A752" s="60" t="n">
        <v>46163</v>
      </c>
      <c r="B752" s="60" t="n">
        <v>46166</v>
      </c>
      <c r="C752" s="60" t="n">
        <v>46169</v>
      </c>
      <c r="D752" s="87" t="inlineStr">
        <is>
          <t>GERCI ERNESTINO DOS SANTOS</t>
        </is>
      </c>
      <c r="E752" s="87" t="inlineStr">
        <is>
          <t>Suhai</t>
        </is>
      </c>
      <c r="F752" s="87" t="inlineStr">
        <is>
          <t>Enzo</t>
        </is>
      </c>
      <c r="G752" s="87" t="inlineStr">
        <is>
          <t>M</t>
        </is>
      </c>
      <c r="H752" s="78" t="n">
        <v>5513981638789</v>
      </c>
      <c r="I752" s="87" t="inlineStr">
        <is>
          <t>Renovação</t>
        </is>
      </c>
      <c r="J752" s="87" t="inlineStr">
        <is>
          <t>Erro</t>
        </is>
      </c>
      <c r="K752" s="60" t="n">
        <v>46172</v>
      </c>
      <c r="L752" s="87">
        <f>TEXT(A752,"mmmm")</f>
        <v/>
      </c>
    </row>
    <row r="753">
      <c r="A753" s="60" t="n">
        <v>46163</v>
      </c>
      <c r="B753" s="60" t="n">
        <v>46166</v>
      </c>
      <c r="C753" s="60" t="n">
        <v>46169</v>
      </c>
      <c r="D753" s="87" t="inlineStr">
        <is>
          <t>GERCI ERNESTINO DOS SANTOS</t>
        </is>
      </c>
      <c r="E753" s="87" t="inlineStr">
        <is>
          <t>Suhai</t>
        </is>
      </c>
      <c r="F753" s="87" t="inlineStr">
        <is>
          <t>Enzo</t>
        </is>
      </c>
      <c r="G753" s="87" t="inlineStr">
        <is>
          <t>M</t>
        </is>
      </c>
      <c r="H753" s="78" t="n">
        <v>5513981638789</v>
      </c>
      <c r="I753" s="87" t="inlineStr">
        <is>
          <t>Renovação</t>
        </is>
      </c>
      <c r="J753" s="87" t="inlineStr">
        <is>
          <t>Erro</t>
        </is>
      </c>
      <c r="K753" s="60" t="n">
        <v>46172</v>
      </c>
      <c r="L753" s="87">
        <f>TEXT(A753,"mmmm")</f>
        <v/>
      </c>
    </row>
    <row r="754">
      <c r="A754" s="60" t="n">
        <v>46163</v>
      </c>
      <c r="B754" s="60" t="n">
        <v>46166</v>
      </c>
      <c r="C754" s="60" t="n">
        <v>46169</v>
      </c>
      <c r="D754" s="87" t="inlineStr">
        <is>
          <t>VITOR HUGO DE ABREU LAURIANO</t>
        </is>
      </c>
      <c r="E754" s="87" t="inlineStr">
        <is>
          <t>Mapfre</t>
        </is>
      </c>
      <c r="F754" s="87" t="inlineStr">
        <is>
          <t>Enzo</t>
        </is>
      </c>
      <c r="G754" s="87" t="inlineStr">
        <is>
          <t>M</t>
        </is>
      </c>
      <c r="H754" s="78" t="n">
        <v>5511958127803</v>
      </c>
      <c r="I754" s="87" t="inlineStr">
        <is>
          <t>Renovação</t>
        </is>
      </c>
      <c r="J754" s="87" t="inlineStr">
        <is>
          <t>Assinado</t>
        </is>
      </c>
      <c r="K754" s="60" t="n">
        <v>46172</v>
      </c>
      <c r="L754" s="87">
        <f>TEXT(A754,"mmmm")</f>
        <v/>
      </c>
    </row>
    <row r="755">
      <c r="A755" s="60" t="n">
        <v>46163</v>
      </c>
      <c r="B755" s="60" t="n">
        <v>46166</v>
      </c>
      <c r="C755" s="60" t="n">
        <v>46169</v>
      </c>
      <c r="D755" s="87" t="inlineStr">
        <is>
          <t>CLEITON GOMES DOS SANTOS</t>
        </is>
      </c>
      <c r="E755" s="87" t="inlineStr">
        <is>
          <t>Suhai</t>
        </is>
      </c>
      <c r="F755" s="87" t="inlineStr">
        <is>
          <t>Enzo</t>
        </is>
      </c>
      <c r="G755" s="87" t="inlineStr">
        <is>
          <t>M</t>
        </is>
      </c>
      <c r="H755" s="78" t="n">
        <v>5511957082255</v>
      </c>
      <c r="I755" s="87" t="inlineStr">
        <is>
          <t>Renovação</t>
        </is>
      </c>
      <c r="J755" s="87" t="inlineStr">
        <is>
          <t>Assinado</t>
        </is>
      </c>
      <c r="K755" s="60" t="n">
        <v>46172</v>
      </c>
      <c r="L755" s="87">
        <f>TEXT(A755,"mmmm")</f>
        <v/>
      </c>
    </row>
    <row r="756">
      <c r="A756" s="60" t="n">
        <v>46163</v>
      </c>
      <c r="B756" s="60" t="n">
        <v>46166</v>
      </c>
      <c r="C756" s="60" t="n">
        <v>46169</v>
      </c>
      <c r="D756" s="87" t="inlineStr">
        <is>
          <t>JOSE ROBERTO DA SILVA</t>
        </is>
      </c>
      <c r="E756" s="87" t="inlineStr">
        <is>
          <t>Mapfre</t>
        </is>
      </c>
      <c r="F756" s="87" t="inlineStr">
        <is>
          <t>Myrelle</t>
        </is>
      </c>
      <c r="G756" s="87" t="inlineStr">
        <is>
          <t>F</t>
        </is>
      </c>
      <c r="H756" s="78" t="n">
        <v>5511974819004</v>
      </c>
      <c r="I756" s="87" t="inlineStr">
        <is>
          <t>Novo</t>
        </is>
      </c>
      <c r="J756" s="87" t="inlineStr">
        <is>
          <t>Cancelado</t>
        </is>
      </c>
      <c r="K756" s="60" t="n">
        <v>46172</v>
      </c>
      <c r="L756" s="87">
        <f>TEXT(A756,"mmmm")</f>
        <v/>
      </c>
    </row>
    <row r="757">
      <c r="A757" s="60" t="n">
        <v>46163</v>
      </c>
      <c r="B757" s="60" t="n">
        <v>46166</v>
      </c>
      <c r="C757" s="60" t="n">
        <v>46169</v>
      </c>
      <c r="D757" s="87" t="inlineStr">
        <is>
          <t>WELLINGTON PEDRO DE SOUZA</t>
        </is>
      </c>
      <c r="E757" s="87" t="inlineStr">
        <is>
          <t>Azul</t>
        </is>
      </c>
      <c r="F757" s="87" t="inlineStr">
        <is>
          <t>Myrelle</t>
        </is>
      </c>
      <c r="G757" s="87" t="inlineStr">
        <is>
          <t>F</t>
        </is>
      </c>
      <c r="H757" s="78" t="n">
        <v>5511977615522</v>
      </c>
      <c r="I757" s="87" t="inlineStr">
        <is>
          <t>Novo</t>
        </is>
      </c>
      <c r="J757" s="87" t="inlineStr">
        <is>
          <t>Assinado</t>
        </is>
      </c>
      <c r="K757" s="60" t="n">
        <v>46172</v>
      </c>
      <c r="L757" s="87">
        <f>TEXT(A757,"mmmm")</f>
        <v/>
      </c>
    </row>
    <row r="758">
      <c r="A758" s="60" t="n">
        <v>46163</v>
      </c>
      <c r="B758" s="60" t="n">
        <v>46166</v>
      </c>
      <c r="C758" s="60" t="n">
        <v>46169</v>
      </c>
      <c r="D758" s="87" t="inlineStr">
        <is>
          <t>JOSEILDO BELO</t>
        </is>
      </c>
      <c r="E758" s="87" t="inlineStr">
        <is>
          <t>Azul</t>
        </is>
      </c>
      <c r="F758" s="87" t="inlineStr">
        <is>
          <t>Leticia</t>
        </is>
      </c>
      <c r="G758" s="87" t="inlineStr">
        <is>
          <t>F</t>
        </is>
      </c>
      <c r="H758" s="78" t="n">
        <v>5514998147882</v>
      </c>
      <c r="I758" s="87" t="inlineStr">
        <is>
          <t>Novo</t>
        </is>
      </c>
      <c r="J758" s="87" t="inlineStr">
        <is>
          <t>Assinado</t>
        </is>
      </c>
      <c r="K758" s="60" t="n">
        <v>46172</v>
      </c>
      <c r="L758" s="87">
        <f>TEXT(A758,"mmmm")</f>
        <v/>
      </c>
    </row>
    <row r="759">
      <c r="A759" s="60" t="n">
        <v>46163</v>
      </c>
      <c r="B759" s="60" t="n">
        <v>46166</v>
      </c>
      <c r="C759" s="60" t="n">
        <v>46169</v>
      </c>
      <c r="D759" s="87" t="inlineStr">
        <is>
          <t>MARCIA FONTANA</t>
        </is>
      </c>
      <c r="E759" s="87" t="inlineStr">
        <is>
          <t>Azul</t>
        </is>
      </c>
      <c r="F759" s="87" t="inlineStr">
        <is>
          <t>Leticia</t>
        </is>
      </c>
      <c r="G759" s="87" t="inlineStr">
        <is>
          <t>F</t>
        </is>
      </c>
      <c r="H759" s="78" t="n">
        <v>5517988240655</v>
      </c>
      <c r="I759" s="87" t="inlineStr">
        <is>
          <t>Novo</t>
        </is>
      </c>
      <c r="J759" s="87" t="inlineStr">
        <is>
          <t>Assinado</t>
        </is>
      </c>
      <c r="K759" s="60" t="n">
        <v>46172</v>
      </c>
      <c r="L759" s="87">
        <f>TEXT(A759,"mmmm")</f>
        <v/>
      </c>
    </row>
    <row r="760">
      <c r="A760" s="60" t="n">
        <v>46163</v>
      </c>
      <c r="B760" s="60" t="n">
        <v>46166</v>
      </c>
      <c r="C760" s="60" t="n">
        <v>46169</v>
      </c>
      <c r="D760" s="87" t="inlineStr">
        <is>
          <t>VALTER BERGUE</t>
        </is>
      </c>
      <c r="E760" s="87" t="inlineStr">
        <is>
          <t>Mapfre</t>
        </is>
      </c>
      <c r="F760" s="87" t="inlineStr">
        <is>
          <t>Leticia</t>
        </is>
      </c>
      <c r="G760" s="87" t="inlineStr">
        <is>
          <t>F</t>
        </is>
      </c>
      <c r="H760" s="78" t="n">
        <v>5515996593037</v>
      </c>
      <c r="I760" s="87" t="inlineStr">
        <is>
          <t>Novo</t>
        </is>
      </c>
      <c r="J760" s="87" t="inlineStr">
        <is>
          <t>Assinado</t>
        </is>
      </c>
      <c r="K760" s="60" t="n">
        <v>46172</v>
      </c>
      <c r="L760" s="87">
        <f>TEXT(A760,"mmmm")</f>
        <v/>
      </c>
    </row>
    <row r="761">
      <c r="A761" s="60" t="n">
        <v>46163</v>
      </c>
      <c r="B761" s="60" t="n">
        <v>46166</v>
      </c>
      <c r="C761" s="60" t="n">
        <v>46169</v>
      </c>
      <c r="D761" s="87" t="inlineStr">
        <is>
          <t>DENIS FRANCISCO GOMES DA SILVA</t>
        </is>
      </c>
      <c r="E761" s="87" t="inlineStr">
        <is>
          <t>Tokio</t>
        </is>
      </c>
      <c r="F761" s="87" t="inlineStr">
        <is>
          <t>Leticia</t>
        </is>
      </c>
      <c r="G761" s="87" t="inlineStr">
        <is>
          <t>F</t>
        </is>
      </c>
      <c r="H761" s="78" t="n">
        <v>5511965357729</v>
      </c>
      <c r="I761" s="87" t="inlineStr">
        <is>
          <t>Novo</t>
        </is>
      </c>
      <c r="J761" s="87" t="inlineStr">
        <is>
          <t>Assinado</t>
        </is>
      </c>
      <c r="K761" s="60" t="n">
        <v>46172</v>
      </c>
      <c r="L761" s="87">
        <f>TEXT(A761,"mmmm")</f>
        <v/>
      </c>
    </row>
    <row r="762">
      <c r="A762" s="60" t="n">
        <v>46163</v>
      </c>
      <c r="B762" s="60" t="n">
        <v>46166</v>
      </c>
      <c r="C762" s="60" t="n">
        <v>46169</v>
      </c>
      <c r="D762" s="87" t="inlineStr">
        <is>
          <t>DEBORA CRISTINA INACIO VITOR</t>
        </is>
      </c>
      <c r="E762" s="87" t="inlineStr">
        <is>
          <t>Suhai</t>
        </is>
      </c>
      <c r="F762" s="87" t="inlineStr">
        <is>
          <t>Myrelle</t>
        </is>
      </c>
      <c r="G762" s="87" t="inlineStr">
        <is>
          <t>F</t>
        </is>
      </c>
      <c r="H762" s="78" t="n">
        <v>5512991025190</v>
      </c>
      <c r="I762" s="87" t="inlineStr">
        <is>
          <t>Novo</t>
        </is>
      </c>
      <c r="J762" s="87" t="inlineStr">
        <is>
          <t>Assinado</t>
        </is>
      </c>
      <c r="K762" s="60" t="n">
        <v>46172</v>
      </c>
      <c r="L762" s="87">
        <f>TEXT(A762,"mmmm")</f>
        <v/>
      </c>
    </row>
    <row r="763">
      <c r="A763" s="60" t="n">
        <v>46163</v>
      </c>
      <c r="B763" s="60" t="n">
        <v>46166</v>
      </c>
      <c r="C763" s="60" t="n">
        <v>46169</v>
      </c>
      <c r="D763" s="87" t="inlineStr">
        <is>
          <t>DIANA QUIRINO MONTEIRO</t>
        </is>
      </c>
      <c r="E763" s="87" t="inlineStr">
        <is>
          <t>Porto</t>
        </is>
      </c>
      <c r="F763" s="87" t="inlineStr">
        <is>
          <t>John</t>
        </is>
      </c>
      <c r="G763" s="87" t="inlineStr">
        <is>
          <t>M</t>
        </is>
      </c>
      <c r="H763" s="78" t="n">
        <v>5511997308261</v>
      </c>
      <c r="I763" s="87" t="inlineStr">
        <is>
          <t>Novo</t>
        </is>
      </c>
      <c r="J763" s="87" t="inlineStr">
        <is>
          <t>Assinado</t>
        </is>
      </c>
      <c r="K763" s="60" t="n">
        <v>46172</v>
      </c>
      <c r="L763" s="87">
        <f>TEXT(A763,"mmmm")</f>
        <v/>
      </c>
    </row>
    <row r="764">
      <c r="A764" s="60" t="n">
        <v>46163</v>
      </c>
      <c r="B764" s="60" t="n">
        <v>46166</v>
      </c>
      <c r="C764" s="60" t="n">
        <v>46169</v>
      </c>
      <c r="D764" s="87" t="inlineStr">
        <is>
          <t>FERNANDA SILVA DE OLIVEIRA</t>
        </is>
      </c>
      <c r="E764" s="87" t="inlineStr">
        <is>
          <t>Suhai</t>
        </is>
      </c>
      <c r="F764" s="87" t="inlineStr">
        <is>
          <t>John</t>
        </is>
      </c>
      <c r="G764" s="87" t="inlineStr">
        <is>
          <t>M</t>
        </is>
      </c>
      <c r="H764" s="78" t="n">
        <v>5511996972502</v>
      </c>
      <c r="I764" s="87" t="inlineStr">
        <is>
          <t>Novo</t>
        </is>
      </c>
      <c r="J764" s="87" t="inlineStr">
        <is>
          <t>Na planilha</t>
        </is>
      </c>
      <c r="K764" s="60" t="n">
        <v>46172</v>
      </c>
      <c r="L764" s="87">
        <f>TEXT(A764,"mmmm")</f>
        <v/>
      </c>
    </row>
    <row r="765">
      <c r="A765" s="60" t="n">
        <v>46163</v>
      </c>
      <c r="B765" s="60" t="n">
        <v>46166</v>
      </c>
      <c r="C765" s="60" t="n">
        <v>46169</v>
      </c>
      <c r="D765" s="87" t="inlineStr">
        <is>
          <t>ELISANGELA MARQUES DA SILVA</t>
        </is>
      </c>
      <c r="E765" s="87" t="inlineStr">
        <is>
          <t>Azul</t>
        </is>
      </c>
      <c r="F765" s="87" t="inlineStr">
        <is>
          <t>John</t>
        </is>
      </c>
      <c r="G765" s="87" t="inlineStr">
        <is>
          <t>M</t>
        </is>
      </c>
      <c r="H765" s="78" t="n">
        <v>5511985420898</v>
      </c>
      <c r="I765" s="87" t="inlineStr">
        <is>
          <t>Novo</t>
        </is>
      </c>
      <c r="J765" s="87" t="inlineStr">
        <is>
          <t>Assinado</t>
        </is>
      </c>
      <c r="K765" s="60" t="n">
        <v>46172</v>
      </c>
      <c r="L765" s="87">
        <f>TEXT(A765,"mmmm")</f>
        <v/>
      </c>
    </row>
    <row r="766">
      <c r="A766" s="60" t="n">
        <v>46163</v>
      </c>
      <c r="B766" s="60" t="n">
        <v>46166</v>
      </c>
      <c r="C766" s="60" t="n">
        <v>46169</v>
      </c>
      <c r="D766" s="87" t="inlineStr">
        <is>
          <t>KELLY CARDOSO DE SOUZA</t>
        </is>
      </c>
      <c r="E766" s="87" t="inlineStr">
        <is>
          <t>Tokio</t>
        </is>
      </c>
      <c r="F766" s="87" t="inlineStr">
        <is>
          <t>Isabella</t>
        </is>
      </c>
      <c r="G766" s="87" t="inlineStr">
        <is>
          <t>F</t>
        </is>
      </c>
      <c r="H766" s="78" t="n">
        <v>5511996707269</v>
      </c>
      <c r="I766" s="87" t="inlineStr">
        <is>
          <t>Novo</t>
        </is>
      </c>
      <c r="J766" s="87" t="inlineStr">
        <is>
          <t>Na planilha</t>
        </is>
      </c>
      <c r="K766" s="60" t="n">
        <v>46172</v>
      </c>
      <c r="L766" s="87">
        <f>TEXT(A766,"mmmm")</f>
        <v/>
      </c>
    </row>
    <row r="767">
      <c r="A767" s="60" t="n">
        <v>46163</v>
      </c>
      <c r="B767" s="60" t="n">
        <v>46166</v>
      </c>
      <c r="C767" s="60" t="n">
        <v>46169</v>
      </c>
      <c r="D767" s="87" t="inlineStr">
        <is>
          <t>ROGERIO GARZARO</t>
        </is>
      </c>
      <c r="E767" s="87" t="inlineStr">
        <is>
          <t>Suhai</t>
        </is>
      </c>
      <c r="F767" s="87" t="inlineStr">
        <is>
          <t>Isabella</t>
        </is>
      </c>
      <c r="G767" s="87" t="inlineStr">
        <is>
          <t>F</t>
        </is>
      </c>
      <c r="H767" s="78" t="n">
        <v>5511913615406</v>
      </c>
      <c r="I767" s="87" t="inlineStr">
        <is>
          <t>Novo</t>
        </is>
      </c>
      <c r="J767" s="87" t="inlineStr">
        <is>
          <t>Assinado(manual)</t>
        </is>
      </c>
      <c r="K767" s="60" t="n">
        <v>46172</v>
      </c>
      <c r="L767" s="87">
        <f>TEXT(A767,"mmmm")</f>
        <v/>
      </c>
    </row>
    <row r="768">
      <c r="A768" s="60" t="n">
        <v>46163</v>
      </c>
      <c r="B768" s="60" t="n">
        <v>46166</v>
      </c>
      <c r="C768" s="60" t="n">
        <v>46169</v>
      </c>
      <c r="D768" s="87" t="inlineStr">
        <is>
          <t>GILBERTO ESTEVES</t>
        </is>
      </c>
      <c r="E768" s="87" t="inlineStr">
        <is>
          <t>Mapfre</t>
        </is>
      </c>
      <c r="F768" s="87" t="inlineStr">
        <is>
          <t>Isabella</t>
        </is>
      </c>
      <c r="G768" s="87" t="inlineStr">
        <is>
          <t>F</t>
        </is>
      </c>
      <c r="H768" s="78" t="n">
        <v>5511972137878</v>
      </c>
      <c r="I768" s="87" t="inlineStr">
        <is>
          <t>Novo</t>
        </is>
      </c>
      <c r="J768" s="87" t="inlineStr">
        <is>
          <t>Assinado</t>
        </is>
      </c>
      <c r="K768" s="60" t="n">
        <v>46172</v>
      </c>
      <c r="L768" s="87">
        <f>TEXT(A768,"mmmm")</f>
        <v/>
      </c>
    </row>
    <row r="769">
      <c r="A769" s="60" t="n">
        <v>46163</v>
      </c>
      <c r="B769" s="60" t="n">
        <v>46166</v>
      </c>
      <c r="C769" s="60" t="n">
        <v>46169</v>
      </c>
      <c r="D769" s="87" t="inlineStr">
        <is>
          <t>ANDRE APARECIDO DOS REIS OLIVEIRA</t>
        </is>
      </c>
      <c r="E769" s="87" t="inlineStr">
        <is>
          <t>Azul</t>
        </is>
      </c>
      <c r="F769" s="87" t="inlineStr">
        <is>
          <t>Jacqueline</t>
        </is>
      </c>
      <c r="G769" s="87" t="inlineStr">
        <is>
          <t>F</t>
        </is>
      </c>
      <c r="H769" s="78" t="n">
        <v>5531971543922</v>
      </c>
      <c r="I769" s="87" t="inlineStr">
        <is>
          <t>Novo</t>
        </is>
      </c>
      <c r="J769" s="87" t="inlineStr">
        <is>
          <t>Assinado</t>
        </is>
      </c>
      <c r="K769" s="60" t="n">
        <v>46172</v>
      </c>
      <c r="L769" s="87">
        <f>TEXT(A769,"mmmm")</f>
        <v/>
      </c>
    </row>
    <row r="770">
      <c r="A770" s="60" t="n">
        <v>46163</v>
      </c>
      <c r="B770" s="60" t="n">
        <v>46166</v>
      </c>
      <c r="C770" s="60" t="n">
        <v>46169</v>
      </c>
      <c r="D770" s="87" t="inlineStr">
        <is>
          <t>LUIZ FELIPE MALAQUIAS TAVARES</t>
        </is>
      </c>
      <c r="E770" s="87" t="inlineStr">
        <is>
          <t>Suhai</t>
        </is>
      </c>
      <c r="F770" s="87" t="inlineStr">
        <is>
          <t>Leticia</t>
        </is>
      </c>
      <c r="G770" s="87" t="inlineStr">
        <is>
          <t>F</t>
        </is>
      </c>
      <c r="H770" s="78" t="n">
        <v>5511993396277</v>
      </c>
      <c r="I770" s="87" t="inlineStr">
        <is>
          <t>Novo</t>
        </is>
      </c>
      <c r="J770" s="87" t="inlineStr">
        <is>
          <t>Na planilha</t>
        </is>
      </c>
      <c r="K770" s="60" t="n">
        <v>46172</v>
      </c>
      <c r="L770" s="87">
        <f>TEXT(A770,"mmmm")</f>
        <v/>
      </c>
    </row>
    <row r="771">
      <c r="A771" s="60" t="n">
        <v>46164</v>
      </c>
      <c r="B771" s="60" t="n">
        <v>46167</v>
      </c>
      <c r="C771" s="60" t="n">
        <v>46170</v>
      </c>
      <c r="D771" s="87" t="inlineStr">
        <is>
          <t>DANIEL ROSSI</t>
        </is>
      </c>
      <c r="E771" s="87" t="inlineStr">
        <is>
          <t>Mapfre</t>
        </is>
      </c>
      <c r="F771" s="87" t="inlineStr">
        <is>
          <t>Isabella</t>
        </is>
      </c>
      <c r="G771" s="87" t="inlineStr">
        <is>
          <t>F</t>
        </is>
      </c>
      <c r="H771" s="78" t="n">
        <v>5511944683187</v>
      </c>
      <c r="I771" s="87" t="inlineStr">
        <is>
          <t>Novo</t>
        </is>
      </c>
      <c r="J771" s="87" t="inlineStr">
        <is>
          <t>Assinado</t>
        </is>
      </c>
      <c r="K771" s="60" t="n">
        <v>46173</v>
      </c>
      <c r="L771" s="87">
        <f>TEXT(A771,"mmmm")</f>
        <v/>
      </c>
    </row>
    <row r="772">
      <c r="A772" s="60" t="n">
        <v>46164</v>
      </c>
      <c r="B772" s="60" t="n">
        <v>46167</v>
      </c>
      <c r="C772" s="60" t="n">
        <v>46170</v>
      </c>
      <c r="D772" s="87" t="inlineStr">
        <is>
          <t>ALEXANDRO PEREIRA DOS SANTOS</t>
        </is>
      </c>
      <c r="E772" s="87" t="inlineStr">
        <is>
          <t>Azul</t>
        </is>
      </c>
      <c r="F772" s="87" t="inlineStr">
        <is>
          <t>Jacqueline</t>
        </is>
      </c>
      <c r="G772" s="87" t="inlineStr">
        <is>
          <t>F</t>
        </is>
      </c>
      <c r="H772" s="78" t="n">
        <v>5511947794836</v>
      </c>
      <c r="I772" s="87" t="inlineStr">
        <is>
          <t>Novo</t>
        </is>
      </c>
      <c r="J772" s="87" t="inlineStr">
        <is>
          <t>Assinado</t>
        </is>
      </c>
      <c r="K772" s="60" t="n">
        <v>46173</v>
      </c>
      <c r="L772" s="87">
        <f>TEXT(A772,"mmmm")</f>
        <v/>
      </c>
    </row>
    <row r="773">
      <c r="A773" s="60" t="n">
        <v>46164</v>
      </c>
      <c r="B773" s="60" t="n">
        <v>46167</v>
      </c>
      <c r="C773" s="60" t="n">
        <v>46170</v>
      </c>
      <c r="D773" s="87" t="inlineStr">
        <is>
          <t>DAIANE CINTIA DA SILVA SANTOS</t>
        </is>
      </c>
      <c r="E773" s="87" t="inlineStr">
        <is>
          <t>Suhai</t>
        </is>
      </c>
      <c r="F773" s="87" t="inlineStr">
        <is>
          <t>John</t>
        </is>
      </c>
      <c r="G773" s="87" t="inlineStr">
        <is>
          <t>M</t>
        </is>
      </c>
      <c r="H773" s="78" t="n">
        <v>5511961785403</v>
      </c>
      <c r="I773" s="87" t="inlineStr">
        <is>
          <t>Novo</t>
        </is>
      </c>
      <c r="J773" s="87" t="inlineStr">
        <is>
          <t>Na planilha</t>
        </is>
      </c>
      <c r="K773" s="60" t="n">
        <v>46173</v>
      </c>
      <c r="L773" s="87">
        <f>TEXT(A773,"mmmm")</f>
        <v/>
      </c>
    </row>
    <row r="774">
      <c r="A774" s="60" t="n">
        <v>46164</v>
      </c>
      <c r="B774" s="60" t="n">
        <v>46167</v>
      </c>
      <c r="C774" s="60" t="n">
        <v>46170</v>
      </c>
      <c r="D774" s="87" t="inlineStr">
        <is>
          <t>MARCOS FERNANDES DE PAULO FILHO</t>
        </is>
      </c>
      <c r="E774" s="87" t="inlineStr">
        <is>
          <t>Suhai</t>
        </is>
      </c>
      <c r="F774" s="87" t="inlineStr">
        <is>
          <t>Jéssica</t>
        </is>
      </c>
      <c r="G774" s="87" t="inlineStr">
        <is>
          <t>F</t>
        </is>
      </c>
      <c r="H774" s="76" t="n">
        <v>5511986509006</v>
      </c>
      <c r="I774" s="87" t="inlineStr">
        <is>
          <t>Novo</t>
        </is>
      </c>
      <c r="J774" s="87" t="inlineStr">
        <is>
          <t>Assinado</t>
        </is>
      </c>
      <c r="K774" s="60" t="n">
        <v>46173</v>
      </c>
      <c r="L774" s="87">
        <f>TEXT(A774,"mmmm")</f>
        <v/>
      </c>
    </row>
    <row r="775">
      <c r="A775" s="60" t="n">
        <v>46164</v>
      </c>
      <c r="B775" s="60" t="n">
        <v>46167</v>
      </c>
      <c r="C775" s="60" t="n">
        <v>46170</v>
      </c>
      <c r="D775" s="87" t="inlineStr">
        <is>
          <t>JOSIANE PORTELA</t>
        </is>
      </c>
      <c r="E775" s="87" t="inlineStr">
        <is>
          <t>Azul</t>
        </is>
      </c>
      <c r="F775" s="87" t="inlineStr">
        <is>
          <t>John</t>
        </is>
      </c>
      <c r="G775" s="87" t="inlineStr">
        <is>
          <t>M</t>
        </is>
      </c>
      <c r="H775" s="78" t="n">
        <v>5519996970257</v>
      </c>
      <c r="I775" s="87" t="inlineStr">
        <is>
          <t>Novo</t>
        </is>
      </c>
      <c r="J775" s="87" t="inlineStr">
        <is>
          <t>Na planilha</t>
        </is>
      </c>
      <c r="K775" s="60" t="n">
        <v>46173</v>
      </c>
      <c r="L775" s="87">
        <f>TEXT(A775,"mmmm")</f>
        <v/>
      </c>
    </row>
    <row r="776">
      <c r="A776" s="60" t="n">
        <v>46164</v>
      </c>
      <c r="B776" s="60" t="n">
        <v>46167</v>
      </c>
      <c r="C776" s="60" t="n">
        <v>46170</v>
      </c>
      <c r="D776" s="87" t="inlineStr">
        <is>
          <t>MARCELO DE LEIROS</t>
        </is>
      </c>
      <c r="E776" s="87" t="inlineStr">
        <is>
          <t>Tokio</t>
        </is>
      </c>
      <c r="F776" s="87" t="inlineStr">
        <is>
          <t>John</t>
        </is>
      </c>
      <c r="G776" s="87" t="inlineStr">
        <is>
          <t>M</t>
        </is>
      </c>
      <c r="H776" s="78" t="n">
        <v>5511973196112</v>
      </c>
      <c r="I776" s="87" t="inlineStr">
        <is>
          <t>Novo</t>
        </is>
      </c>
      <c r="J776" s="87" t="inlineStr">
        <is>
          <t>Assinado</t>
        </is>
      </c>
      <c r="K776" s="60" t="n">
        <v>46173</v>
      </c>
      <c r="L776" s="87">
        <f>TEXT(A776,"mmmm")</f>
        <v/>
      </c>
    </row>
    <row r="777">
      <c r="A777" s="60" t="n">
        <v>46164</v>
      </c>
      <c r="B777" s="60" t="n">
        <v>46167</v>
      </c>
      <c r="C777" s="60" t="n">
        <v>46170</v>
      </c>
      <c r="D777" s="87" t="inlineStr">
        <is>
          <t>VANESSA CECILIA ALMEIDA DA CONCEICAO</t>
        </is>
      </c>
      <c r="E777" s="87" t="inlineStr">
        <is>
          <t>Tokio</t>
        </is>
      </c>
      <c r="F777" s="87" t="inlineStr">
        <is>
          <t>John</t>
        </is>
      </c>
      <c r="G777" s="87" t="inlineStr">
        <is>
          <t>M</t>
        </is>
      </c>
      <c r="H777" s="78" t="n">
        <v>5511952737153</v>
      </c>
      <c r="I777" s="87" t="inlineStr">
        <is>
          <t>Novo</t>
        </is>
      </c>
      <c r="J777" s="87" t="inlineStr">
        <is>
          <t>Assinado</t>
        </is>
      </c>
      <c r="K777" s="60" t="n">
        <v>46173</v>
      </c>
      <c r="L777" s="87">
        <f>TEXT(A777,"mmmm")</f>
        <v/>
      </c>
    </row>
    <row r="778">
      <c r="A778" s="60" t="n">
        <v>46164</v>
      </c>
      <c r="B778" s="60" t="n">
        <v>46167</v>
      </c>
      <c r="C778" s="60" t="n">
        <v>46170</v>
      </c>
      <c r="D778" s="87" t="inlineStr">
        <is>
          <t>FABIO CAPELARO</t>
        </is>
      </c>
      <c r="E778" s="87" t="inlineStr">
        <is>
          <t>Azul</t>
        </is>
      </c>
      <c r="F778" s="87" t="inlineStr">
        <is>
          <t>Jacqueline</t>
        </is>
      </c>
      <c r="G778" s="87" t="inlineStr">
        <is>
          <t>F</t>
        </is>
      </c>
      <c r="H778" s="78" t="n">
        <v>5549999743731</v>
      </c>
      <c r="I778" s="87" t="inlineStr">
        <is>
          <t>Novo</t>
        </is>
      </c>
      <c r="J778" s="87" t="inlineStr">
        <is>
          <t>Cancelado</t>
        </is>
      </c>
      <c r="K778" s="60" t="n">
        <v>46173</v>
      </c>
      <c r="L778" s="87">
        <f>TEXT(A778,"mmmm")</f>
        <v/>
      </c>
    </row>
    <row r="779">
      <c r="A779" s="60" t="n">
        <v>46164</v>
      </c>
      <c r="B779" s="60" t="n">
        <v>46167</v>
      </c>
      <c r="C779" s="60" t="n">
        <v>46170</v>
      </c>
      <c r="D779" s="87" t="inlineStr">
        <is>
          <t>CARLOS ALBERTO VIEIRA DE CAMPOS</t>
        </is>
      </c>
      <c r="E779" s="87" t="inlineStr">
        <is>
          <t>Suhai</t>
        </is>
      </c>
      <c r="F779" s="87" t="inlineStr">
        <is>
          <t>Enzo</t>
        </is>
      </c>
      <c r="G779" s="87" t="inlineStr">
        <is>
          <t>M</t>
        </is>
      </c>
      <c r="H779" s="78" t="n">
        <v>5515991454454</v>
      </c>
      <c r="I779" s="87" t="inlineStr">
        <is>
          <t>Novo</t>
        </is>
      </c>
      <c r="J779" s="87" t="inlineStr">
        <is>
          <t>Assinado</t>
        </is>
      </c>
      <c r="K779" s="60" t="n">
        <v>46173</v>
      </c>
      <c r="L779" s="87">
        <f>TEXT(A779,"mmmm")</f>
        <v/>
      </c>
    </row>
    <row r="780">
      <c r="A780" s="60" t="n">
        <v>46164</v>
      </c>
      <c r="B780" s="60" t="n">
        <v>46167</v>
      </c>
      <c r="C780" s="60" t="n">
        <v>46170</v>
      </c>
      <c r="D780" s="87" t="inlineStr">
        <is>
          <t>CEZAR AUGUSTO BARBOSA</t>
        </is>
      </c>
      <c r="E780" s="87" t="inlineStr">
        <is>
          <t>Suhai</t>
        </is>
      </c>
      <c r="F780" s="87" t="inlineStr">
        <is>
          <t>Isabella</t>
        </is>
      </c>
      <c r="G780" s="87" t="inlineStr">
        <is>
          <t>F</t>
        </is>
      </c>
      <c r="H780" s="78" t="n">
        <v>5511946037598</v>
      </c>
      <c r="I780" s="87" t="inlineStr">
        <is>
          <t>Renovação</t>
        </is>
      </c>
      <c r="J780" s="87" t="inlineStr">
        <is>
          <t>Assinado</t>
        </is>
      </c>
      <c r="K780" s="60" t="n">
        <v>46173</v>
      </c>
      <c r="L780" s="87">
        <f>TEXT(A780,"mmmm")</f>
        <v/>
      </c>
    </row>
    <row r="781">
      <c r="A781" s="60" t="n">
        <v>46167</v>
      </c>
      <c r="B781" s="60" t="n">
        <v>46170</v>
      </c>
      <c r="C781" s="60" t="n">
        <v>46173</v>
      </c>
      <c r="D781" s="87" t="inlineStr">
        <is>
          <t>VALDECI COSTA SILVA</t>
        </is>
      </c>
      <c r="E781" s="87" t="inlineStr">
        <is>
          <t>Suhai</t>
        </is>
      </c>
      <c r="F781" s="87" t="inlineStr">
        <is>
          <t>Jéssica</t>
        </is>
      </c>
      <c r="G781" s="87" t="inlineStr">
        <is>
          <t>F</t>
        </is>
      </c>
      <c r="H781" s="78" t="n">
        <v>5561995241966</v>
      </c>
      <c r="I781" s="87" t="inlineStr">
        <is>
          <t>Novo</t>
        </is>
      </c>
      <c r="J781" s="87" t="inlineStr">
        <is>
          <t>Assinado</t>
        </is>
      </c>
      <c r="K781" s="60" t="n">
        <v>46176</v>
      </c>
      <c r="L781" s="87">
        <f>TEXT(A781,"mmmm")</f>
        <v/>
      </c>
    </row>
    <row r="782">
      <c r="A782" s="60" t="n">
        <v>46167</v>
      </c>
      <c r="B782" s="60" t="n">
        <v>46170</v>
      </c>
      <c r="C782" s="60" t="n">
        <v>46173</v>
      </c>
      <c r="D782" s="87" t="inlineStr">
        <is>
          <t>DAMIAO ALVES DOS SANTOS</t>
        </is>
      </c>
      <c r="E782" s="87" t="inlineStr">
        <is>
          <t>Suhai</t>
        </is>
      </c>
      <c r="F782" s="87" t="inlineStr">
        <is>
          <t>Enzo</t>
        </is>
      </c>
      <c r="G782" s="87" t="inlineStr">
        <is>
          <t>M</t>
        </is>
      </c>
      <c r="H782" s="78" t="n">
        <v>5519983557199</v>
      </c>
      <c r="I782" s="87" t="inlineStr">
        <is>
          <t>Novo</t>
        </is>
      </c>
      <c r="J782" s="87" t="inlineStr">
        <is>
          <t>Assinado(manual)</t>
        </is>
      </c>
      <c r="K782" s="60" t="n">
        <v>46176</v>
      </c>
      <c r="L782" s="87">
        <f>TEXT(A782,"mmmm")</f>
        <v/>
      </c>
    </row>
    <row r="783">
      <c r="A783" s="60" t="n">
        <v>46167</v>
      </c>
      <c r="B783" s="60" t="n">
        <v>46170</v>
      </c>
      <c r="C783" s="60" t="n">
        <v>46173</v>
      </c>
      <c r="D783" s="87" t="inlineStr">
        <is>
          <t>RODRIGO ADELINO LOPES</t>
        </is>
      </c>
      <c r="E783" s="87" t="inlineStr">
        <is>
          <t>Tokio</t>
        </is>
      </c>
      <c r="F783" s="87" t="inlineStr">
        <is>
          <t>Leticia</t>
        </is>
      </c>
      <c r="G783" s="87" t="inlineStr">
        <is>
          <t>F</t>
        </is>
      </c>
      <c r="H783" s="78" t="n">
        <v>5511992783240</v>
      </c>
      <c r="I783" s="87" t="inlineStr">
        <is>
          <t>Novo</t>
        </is>
      </c>
      <c r="J783" s="87" t="inlineStr">
        <is>
          <t>Assinado</t>
        </is>
      </c>
      <c r="K783" s="60" t="n">
        <v>46176</v>
      </c>
      <c r="L783" s="87">
        <f>TEXT(A783,"mmmm")</f>
        <v/>
      </c>
    </row>
    <row r="784">
      <c r="A784" s="60" t="n">
        <v>46167</v>
      </c>
      <c r="B784" s="60" t="n">
        <v>46170</v>
      </c>
      <c r="C784" s="60" t="n">
        <v>46173</v>
      </c>
      <c r="D784" s="87" t="inlineStr">
        <is>
          <t>WAGNER BARREIRA DE ARAUJO</t>
        </is>
      </c>
      <c r="E784" s="87" t="inlineStr">
        <is>
          <t>Bradesco</t>
        </is>
      </c>
      <c r="F784" s="87" t="inlineStr">
        <is>
          <t>Leticia</t>
        </is>
      </c>
      <c r="G784" s="87" t="inlineStr">
        <is>
          <t>F</t>
        </is>
      </c>
      <c r="H784" s="78" t="n">
        <v>5561992254870</v>
      </c>
      <c r="I784" s="87" t="inlineStr">
        <is>
          <t>Novo</t>
        </is>
      </c>
      <c r="J784" s="87" t="inlineStr">
        <is>
          <t>Assinado</t>
        </is>
      </c>
      <c r="K784" s="60" t="n">
        <v>46176</v>
      </c>
      <c r="L784" s="87">
        <f>TEXT(A784,"mmmm")</f>
        <v/>
      </c>
    </row>
    <row r="785">
      <c r="A785" s="60" t="n">
        <v>46167</v>
      </c>
      <c r="B785" s="60" t="n">
        <v>46170</v>
      </c>
      <c r="C785" s="60" t="n">
        <v>46173</v>
      </c>
      <c r="D785" s="87" t="inlineStr">
        <is>
          <t>SEVERINO ABILIO DOS SANTOS</t>
        </is>
      </c>
      <c r="E785" s="87" t="inlineStr">
        <is>
          <t>Tokio</t>
        </is>
      </c>
      <c r="F785" s="87" t="inlineStr">
        <is>
          <t>Leticia</t>
        </is>
      </c>
      <c r="G785" s="87" t="inlineStr">
        <is>
          <t>F</t>
        </is>
      </c>
      <c r="H785" s="78" t="n">
        <v>5511981015318</v>
      </c>
      <c r="I785" s="87" t="inlineStr">
        <is>
          <t>Novo</t>
        </is>
      </c>
      <c r="J785" s="87" t="inlineStr">
        <is>
          <t>Assinado</t>
        </is>
      </c>
      <c r="K785" s="60" t="n">
        <v>46176</v>
      </c>
      <c r="L785" s="87">
        <f>TEXT(A785,"mmmm")</f>
        <v/>
      </c>
    </row>
    <row r="786">
      <c r="A786" s="60" t="n">
        <v>46167</v>
      </c>
      <c r="B786" s="60" t="n">
        <v>46170</v>
      </c>
      <c r="C786" s="60" t="n">
        <v>46173</v>
      </c>
      <c r="D786" s="87" t="inlineStr">
        <is>
          <t>WURSULA YURI FONSECA PATERNEZ</t>
        </is>
      </c>
      <c r="E786" s="87" t="inlineStr">
        <is>
          <t>Suhai</t>
        </is>
      </c>
      <c r="F786" s="87" t="inlineStr">
        <is>
          <t>Leticia</t>
        </is>
      </c>
      <c r="G786" s="87" t="inlineStr">
        <is>
          <t>F</t>
        </is>
      </c>
      <c r="H786" s="78" t="n">
        <v>551932307850</v>
      </c>
      <c r="I786" s="87" t="inlineStr">
        <is>
          <t>Novo</t>
        </is>
      </c>
      <c r="J786" s="87" t="inlineStr">
        <is>
          <t>Assinado</t>
        </is>
      </c>
      <c r="K786" s="60" t="n">
        <v>46176</v>
      </c>
      <c r="L786" s="87">
        <f>TEXT(A786,"mmmm")</f>
        <v/>
      </c>
    </row>
    <row r="787">
      <c r="A787" s="60" t="n">
        <v>46167</v>
      </c>
      <c r="B787" s="60" t="n">
        <v>46170</v>
      </c>
      <c r="C787" s="60" t="n">
        <v>46173</v>
      </c>
      <c r="D787" s="87" t="inlineStr">
        <is>
          <t>RANGEL SILVA</t>
        </is>
      </c>
      <c r="E787" s="87" t="inlineStr">
        <is>
          <t>Azul</t>
        </is>
      </c>
      <c r="F787" s="87" t="inlineStr">
        <is>
          <t>Leticia</t>
        </is>
      </c>
      <c r="G787" s="87" t="inlineStr">
        <is>
          <t>F</t>
        </is>
      </c>
      <c r="H787" s="78" t="n">
        <v>5561996211765</v>
      </c>
      <c r="I787" s="87" t="inlineStr">
        <is>
          <t>Renovação</t>
        </is>
      </c>
      <c r="J787" s="87" t="inlineStr">
        <is>
          <t>Na planilha</t>
        </is>
      </c>
      <c r="K787" s="60" t="n">
        <v>46176</v>
      </c>
      <c r="L787" s="87">
        <f>TEXT(A787,"mmmm")</f>
        <v/>
      </c>
    </row>
    <row r="788">
      <c r="A788" s="60" t="n">
        <v>46168</v>
      </c>
      <c r="B788" s="60" t="n">
        <v>46171</v>
      </c>
      <c r="C788" s="60" t="n">
        <v>46174</v>
      </c>
      <c r="D788" s="87" t="inlineStr">
        <is>
          <t>RITA DE CASSIA REZENDE ALVES CAVALCANTE</t>
        </is>
      </c>
      <c r="E788" s="87" t="inlineStr">
        <is>
          <t>Azul</t>
        </is>
      </c>
      <c r="F788" s="87" t="inlineStr">
        <is>
          <t>John</t>
        </is>
      </c>
      <c r="G788" s="87" t="inlineStr">
        <is>
          <t>M</t>
        </is>
      </c>
      <c r="H788" s="78" t="n">
        <v>5511957379168</v>
      </c>
      <c r="I788" s="87" t="inlineStr">
        <is>
          <t>Novo</t>
        </is>
      </c>
      <c r="J788" s="87" t="inlineStr">
        <is>
          <t>Assinado</t>
        </is>
      </c>
      <c r="K788" s="60" t="n">
        <v>46177</v>
      </c>
      <c r="L788" s="87">
        <f>TEXT(A788,"mmmm")</f>
        <v/>
      </c>
    </row>
    <row r="789">
      <c r="A789" s="60" t="n">
        <v>46168</v>
      </c>
      <c r="B789" s="60" t="n">
        <v>46171</v>
      </c>
      <c r="C789" s="60" t="n">
        <v>46174</v>
      </c>
      <c r="D789" s="87" t="inlineStr">
        <is>
          <t>RITA DE CASSIA REZENDE ALVES CAVALCANTE</t>
        </is>
      </c>
      <c r="E789" s="87" t="inlineStr">
        <is>
          <t>Allianz</t>
        </is>
      </c>
      <c r="F789" s="87" t="inlineStr">
        <is>
          <t>John</t>
        </is>
      </c>
      <c r="G789" s="87" t="inlineStr">
        <is>
          <t>M</t>
        </is>
      </c>
      <c r="H789" s="78" t="n">
        <v>5511957379168</v>
      </c>
      <c r="I789" s="87" t="inlineStr">
        <is>
          <t>Novo</t>
        </is>
      </c>
      <c r="J789" s="87" t="inlineStr">
        <is>
          <t>Assinado</t>
        </is>
      </c>
      <c r="K789" s="60" t="n">
        <v>46177</v>
      </c>
      <c r="L789" s="87">
        <f>TEXT(A789,"mmmm")</f>
        <v/>
      </c>
    </row>
    <row r="790">
      <c r="A790" s="60" t="n">
        <v>46168</v>
      </c>
      <c r="B790" s="60" t="n">
        <v>46171</v>
      </c>
      <c r="C790" s="60" t="n">
        <v>46174</v>
      </c>
      <c r="D790" s="87" t="inlineStr">
        <is>
          <t>FERNANDA GANDOLPHO FRANCO</t>
        </is>
      </c>
      <c r="E790" s="87" t="inlineStr">
        <is>
          <t>Azul</t>
        </is>
      </c>
      <c r="F790" s="87" t="inlineStr">
        <is>
          <t>John</t>
        </is>
      </c>
      <c r="G790" s="87" t="inlineStr">
        <is>
          <t>M</t>
        </is>
      </c>
      <c r="H790" s="78" t="n">
        <v>5511974607597</v>
      </c>
      <c r="I790" s="87" t="inlineStr">
        <is>
          <t>Renovação</t>
        </is>
      </c>
      <c r="J790" s="87" t="inlineStr">
        <is>
          <t>Assinado</t>
        </is>
      </c>
      <c r="K790" s="60" t="n">
        <v>46177</v>
      </c>
      <c r="L790" s="87">
        <f>TEXT(A790,"mmmm")</f>
        <v/>
      </c>
    </row>
    <row r="791">
      <c r="A791" s="60" t="n">
        <v>46168</v>
      </c>
      <c r="B791" s="60" t="n">
        <v>46171</v>
      </c>
      <c r="C791" s="60" t="n">
        <v>46174</v>
      </c>
      <c r="D791" s="87" t="inlineStr">
        <is>
          <t>JOSE NASCIMENTO CORDEIRO DOS SANTOS</t>
        </is>
      </c>
      <c r="E791" s="87" t="inlineStr">
        <is>
          <t>Tokio</t>
        </is>
      </c>
      <c r="F791" s="87" t="inlineStr">
        <is>
          <t>John</t>
        </is>
      </c>
      <c r="G791" s="87" t="inlineStr">
        <is>
          <t>M</t>
        </is>
      </c>
      <c r="H791" s="78" t="n">
        <v>5511977803515</v>
      </c>
      <c r="I791" s="87" t="inlineStr">
        <is>
          <t>Renovação</t>
        </is>
      </c>
      <c r="J791" s="87" t="inlineStr">
        <is>
          <t>Assinado(manual)</t>
        </is>
      </c>
      <c r="K791" s="60" t="n">
        <v>46177</v>
      </c>
      <c r="L791" s="87">
        <f>TEXT(A791,"mmmm")</f>
        <v/>
      </c>
    </row>
    <row r="792">
      <c r="A792" s="60" t="n">
        <v>46168</v>
      </c>
      <c r="B792" s="60" t="n">
        <v>46171</v>
      </c>
      <c r="C792" s="60" t="n">
        <v>46174</v>
      </c>
      <c r="D792" s="87" t="inlineStr">
        <is>
          <t>HENRIQUE FELIX DA SILVA VIANA</t>
        </is>
      </c>
      <c r="E792" s="87" t="inlineStr">
        <is>
          <t>Azul</t>
        </is>
      </c>
      <c r="F792" s="87" t="inlineStr">
        <is>
          <t>Jacqueline</t>
        </is>
      </c>
      <c r="G792" s="87" t="inlineStr">
        <is>
          <t>F</t>
        </is>
      </c>
      <c r="H792" s="78" t="n">
        <v>5511961176167</v>
      </c>
      <c r="I792" s="87" t="inlineStr">
        <is>
          <t>Novo</t>
        </is>
      </c>
      <c r="J792" s="87" t="inlineStr">
        <is>
          <t>Assinado</t>
        </is>
      </c>
      <c r="K792" s="60" t="n">
        <v>46177</v>
      </c>
      <c r="L792" s="87">
        <f>TEXT(A792,"mmmm")</f>
        <v/>
      </c>
    </row>
    <row r="793">
      <c r="A793" s="60" t="n">
        <v>46168</v>
      </c>
      <c r="B793" s="60" t="n">
        <v>46171</v>
      </c>
      <c r="C793" s="60" t="n">
        <v>46174</v>
      </c>
      <c r="D793" s="87" t="inlineStr">
        <is>
          <t>MEIRE VENANCIO CARRIEL RODRIGUES</t>
        </is>
      </c>
      <c r="E793" s="87" t="inlineStr">
        <is>
          <t>Azul</t>
        </is>
      </c>
      <c r="F793" s="87" t="inlineStr">
        <is>
          <t>Isabella</t>
        </is>
      </c>
      <c r="G793" s="87" t="inlineStr">
        <is>
          <t>F</t>
        </is>
      </c>
      <c r="H793" s="78" t="n">
        <v>5511987205119</v>
      </c>
      <c r="I793" s="87" t="inlineStr">
        <is>
          <t>Novo</t>
        </is>
      </c>
      <c r="J793" s="87" t="inlineStr">
        <is>
          <t>Na planilha</t>
        </is>
      </c>
      <c r="K793" s="60" t="n">
        <v>46177</v>
      </c>
      <c r="L793" s="87">
        <f>TEXT(A793,"mmmm")</f>
        <v/>
      </c>
    </row>
    <row r="794">
      <c r="A794" s="60" t="n">
        <v>46168</v>
      </c>
      <c r="B794" s="60" t="n">
        <v>46171</v>
      </c>
      <c r="C794" s="60" t="n">
        <v>46174</v>
      </c>
      <c r="D794" s="87" t="inlineStr">
        <is>
          <t>JURANDIR ALVES MARTINS</t>
        </is>
      </c>
      <c r="E794" s="87" t="inlineStr">
        <is>
          <t>Suhai</t>
        </is>
      </c>
      <c r="F794" s="87" t="inlineStr">
        <is>
          <t>Isabella</t>
        </is>
      </c>
      <c r="G794" s="87" t="inlineStr">
        <is>
          <t>F</t>
        </is>
      </c>
      <c r="H794" s="76" t="n">
        <v>5511994128801</v>
      </c>
      <c r="I794" s="87" t="inlineStr">
        <is>
          <t>Novo</t>
        </is>
      </c>
      <c r="J794" s="87" t="inlineStr">
        <is>
          <t>Assinado</t>
        </is>
      </c>
      <c r="K794" s="60" t="n">
        <v>46177</v>
      </c>
      <c r="L794" s="87">
        <f>TEXT(A794,"mmmm")</f>
        <v/>
      </c>
    </row>
    <row r="795">
      <c r="A795" s="60" t="n">
        <v>46168</v>
      </c>
      <c r="B795" s="60" t="n">
        <v>46171</v>
      </c>
      <c r="C795" s="60" t="n">
        <v>46174</v>
      </c>
      <c r="D795" s="87" t="inlineStr">
        <is>
          <t>MARIANE CARVALHO</t>
        </is>
      </c>
      <c r="E795" s="87" t="inlineStr">
        <is>
          <t>Porto</t>
        </is>
      </c>
      <c r="F795" s="87" t="inlineStr">
        <is>
          <t>John</t>
        </is>
      </c>
      <c r="G795" s="87" t="inlineStr">
        <is>
          <t>M</t>
        </is>
      </c>
      <c r="H795" s="78" t="n">
        <v>5511971521164</v>
      </c>
      <c r="I795" s="87" t="inlineStr">
        <is>
          <t>Novo</t>
        </is>
      </c>
      <c r="J795" s="87" t="inlineStr">
        <is>
          <t>Assinado</t>
        </is>
      </c>
      <c r="K795" s="60" t="n">
        <v>46177</v>
      </c>
      <c r="L795" s="87">
        <f>TEXT(A795,"mmmm")</f>
        <v/>
      </c>
    </row>
    <row r="796">
      <c r="A796" s="60" t="n">
        <v>46169</v>
      </c>
      <c r="B796" s="60" t="n">
        <v>46172</v>
      </c>
      <c r="C796" s="60" t="n">
        <v>46175</v>
      </c>
      <c r="D796" s="87" t="inlineStr">
        <is>
          <t>VERIDIANA GODOY VIEIRA</t>
        </is>
      </c>
      <c r="E796" s="87" t="inlineStr">
        <is>
          <t>Tokio</t>
        </is>
      </c>
      <c r="F796" s="87" t="inlineStr">
        <is>
          <t>John</t>
        </is>
      </c>
      <c r="G796" s="87" t="inlineStr">
        <is>
          <t>M</t>
        </is>
      </c>
      <c r="H796" s="78" t="n">
        <v>5519971706028</v>
      </c>
      <c r="I796" s="87" t="inlineStr">
        <is>
          <t>Novo</t>
        </is>
      </c>
      <c r="J796" s="87" t="inlineStr">
        <is>
          <t>Assinado</t>
        </is>
      </c>
      <c r="K796" s="60" t="n">
        <v>46178</v>
      </c>
      <c r="L796" s="87">
        <f>TEXT(A796,"mmmm")</f>
        <v/>
      </c>
    </row>
    <row r="797">
      <c r="A797" s="60" t="n">
        <v>46169</v>
      </c>
      <c r="B797" s="60" t="n">
        <v>46172</v>
      </c>
      <c r="C797" s="60" t="n">
        <v>46175</v>
      </c>
      <c r="D797" s="87" t="inlineStr">
        <is>
          <t>LUANA GONCALVES DA SILVA GARZARO</t>
        </is>
      </c>
      <c r="E797" s="87" t="inlineStr">
        <is>
          <t>Suhai</t>
        </is>
      </c>
      <c r="F797" s="87" t="inlineStr">
        <is>
          <t>Isabella</t>
        </is>
      </c>
      <c r="G797" s="87" t="inlineStr">
        <is>
          <t>F</t>
        </is>
      </c>
      <c r="H797" s="78" t="n">
        <v>5511991871403</v>
      </c>
      <c r="I797" s="87" t="inlineStr">
        <is>
          <t>Renovação</t>
        </is>
      </c>
      <c r="J797" s="87" t="inlineStr">
        <is>
          <t>Assinado</t>
        </is>
      </c>
      <c r="K797" s="60" t="n">
        <v>46178</v>
      </c>
      <c r="L797" s="87">
        <f>TEXT(A797,"mmmm")</f>
        <v/>
      </c>
    </row>
    <row r="798">
      <c r="A798" s="60" t="n">
        <v>46169</v>
      </c>
      <c r="B798" s="60" t="n">
        <v>46172</v>
      </c>
      <c r="C798" s="60" t="n">
        <v>46175</v>
      </c>
      <c r="D798" s="87" t="inlineStr">
        <is>
          <t>GETULIO PORFIRIO DE ANDRADE</t>
        </is>
      </c>
      <c r="E798" s="87" t="inlineStr">
        <is>
          <t>Azul</t>
        </is>
      </c>
      <c r="F798" s="87" t="inlineStr">
        <is>
          <t>Jacqueline</t>
        </is>
      </c>
      <c r="G798" s="87" t="inlineStr">
        <is>
          <t>F</t>
        </is>
      </c>
      <c r="H798" s="78" t="n">
        <v>5583991272093</v>
      </c>
      <c r="I798" s="87" t="inlineStr">
        <is>
          <t>Novo</t>
        </is>
      </c>
      <c r="J798" s="87" t="inlineStr">
        <is>
          <t>Cancelado</t>
        </is>
      </c>
      <c r="K798" s="60" t="n">
        <v>46178</v>
      </c>
      <c r="L798" s="87">
        <f>TEXT(A798,"mmmm")</f>
        <v/>
      </c>
    </row>
    <row r="799">
      <c r="A799" s="60" t="n">
        <v>46169</v>
      </c>
      <c r="B799" s="60" t="n">
        <v>46172</v>
      </c>
      <c r="C799" s="60" t="n">
        <v>46175</v>
      </c>
      <c r="D799" s="87" t="inlineStr">
        <is>
          <t>BIANCA BELGINI</t>
        </is>
      </c>
      <c r="E799" s="87" t="inlineStr">
        <is>
          <t>Azul</t>
        </is>
      </c>
      <c r="F799" s="87" t="inlineStr">
        <is>
          <t>Jacqueline</t>
        </is>
      </c>
      <c r="G799" s="87" t="inlineStr">
        <is>
          <t>F</t>
        </is>
      </c>
      <c r="H799" s="78" t="n">
        <v>5511942914286</v>
      </c>
      <c r="I799" s="87" t="inlineStr">
        <is>
          <t>Novo</t>
        </is>
      </c>
      <c r="J799" s="87" t="inlineStr">
        <is>
          <t>Cancelado</t>
        </is>
      </c>
      <c r="K799" s="60" t="n">
        <v>46178</v>
      </c>
      <c r="L799" s="87">
        <f>TEXT(A799,"mmmm")</f>
        <v/>
      </c>
    </row>
    <row r="800">
      <c r="A800" s="60" t="n">
        <v>46169</v>
      </c>
      <c r="B800" s="60" t="n">
        <v>46172</v>
      </c>
      <c r="C800" s="60" t="n">
        <v>46175</v>
      </c>
      <c r="D800" s="87" t="inlineStr">
        <is>
          <t>TATIANE NEVES DE OLIVEIRA MADURO</t>
        </is>
      </c>
      <c r="E800" s="87" t="inlineStr">
        <is>
          <t>Tokio</t>
        </is>
      </c>
      <c r="F800" s="87" t="inlineStr">
        <is>
          <t>John</t>
        </is>
      </c>
      <c r="G800" s="87" t="inlineStr">
        <is>
          <t>M</t>
        </is>
      </c>
      <c r="H800" s="78" t="n">
        <v>5512982997884</v>
      </c>
      <c r="I800" s="87" t="inlineStr">
        <is>
          <t>Novo</t>
        </is>
      </c>
      <c r="J800" s="87" t="inlineStr">
        <is>
          <t>Assinado</t>
        </is>
      </c>
      <c r="K800" s="60" t="n">
        <v>46178</v>
      </c>
      <c r="L800" s="87">
        <f>TEXT(A800,"mmmm")</f>
        <v/>
      </c>
    </row>
    <row r="801">
      <c r="A801" s="60" t="n">
        <v>46169</v>
      </c>
      <c r="B801" s="60" t="n">
        <v>46172</v>
      </c>
      <c r="C801" s="60" t="n">
        <v>46175</v>
      </c>
      <c r="D801" s="87" t="inlineStr">
        <is>
          <t>JACSON JORGE DE SOUZA SILVA</t>
        </is>
      </c>
      <c r="E801" s="87" t="inlineStr">
        <is>
          <t>Tokio</t>
        </is>
      </c>
      <c r="F801" s="87" t="inlineStr">
        <is>
          <t>John</t>
        </is>
      </c>
      <c r="G801" s="87" t="inlineStr">
        <is>
          <t>M</t>
        </is>
      </c>
      <c r="H801" s="78" t="n">
        <v>5512981401133</v>
      </c>
      <c r="I801" s="87" t="inlineStr">
        <is>
          <t>Renovação</t>
        </is>
      </c>
      <c r="J801" s="87" t="inlineStr">
        <is>
          <t>Assinado</t>
        </is>
      </c>
      <c r="K801" s="60" t="n">
        <v>46178</v>
      </c>
      <c r="L801" s="87">
        <f>TEXT(A801,"mmmm")</f>
        <v/>
      </c>
    </row>
    <row r="802">
      <c r="A802" s="60" t="n">
        <v>46169</v>
      </c>
      <c r="B802" s="60" t="n">
        <v>46172</v>
      </c>
      <c r="C802" s="60" t="n">
        <v>46175</v>
      </c>
      <c r="D802" s="87" t="inlineStr">
        <is>
          <t>JULIANA DA SILVA SANTOS DIAS</t>
        </is>
      </c>
      <c r="E802" s="87" t="inlineStr">
        <is>
          <t>Suhai</t>
        </is>
      </c>
      <c r="F802" s="87" t="inlineStr">
        <is>
          <t>Jéssica</t>
        </is>
      </c>
      <c r="G802" s="87" t="inlineStr">
        <is>
          <t>F</t>
        </is>
      </c>
      <c r="H802" s="78" t="n">
        <v>5511910938596</v>
      </c>
      <c r="I802" s="87" t="inlineStr">
        <is>
          <t>Novo</t>
        </is>
      </c>
      <c r="J802" s="87" t="inlineStr">
        <is>
          <t>Na planilha</t>
        </is>
      </c>
      <c r="K802" s="60" t="n">
        <v>46178</v>
      </c>
      <c r="L802" s="87">
        <f>TEXT(A802,"mmmm")</f>
        <v/>
      </c>
    </row>
    <row r="803">
      <c r="A803" s="60" t="n">
        <v>46169</v>
      </c>
      <c r="B803" s="60" t="n">
        <v>46172</v>
      </c>
      <c r="C803" s="60" t="n">
        <v>46175</v>
      </c>
      <c r="D803" s="87" t="inlineStr">
        <is>
          <t>VERIDIANA GODOY VIEIRA</t>
        </is>
      </c>
      <c r="E803" s="87" t="inlineStr">
        <is>
          <t>Tokio</t>
        </is>
      </c>
      <c r="F803" s="87" t="inlineStr">
        <is>
          <t>John</t>
        </is>
      </c>
      <c r="G803" s="87" t="inlineStr">
        <is>
          <t>M</t>
        </is>
      </c>
      <c r="H803" s="78" t="n">
        <v>5519971706028</v>
      </c>
      <c r="I803" s="87" t="inlineStr">
        <is>
          <t>Novo</t>
        </is>
      </c>
      <c r="J803" s="87" t="inlineStr">
        <is>
          <t>Assinado</t>
        </is>
      </c>
      <c r="K803" s="60" t="n">
        <v>46178</v>
      </c>
      <c r="L803" s="87">
        <f>TEXT(A803,"mmmm")</f>
        <v/>
      </c>
    </row>
    <row r="804">
      <c r="A804" s="60" t="n">
        <v>46169</v>
      </c>
      <c r="B804" s="60" t="n">
        <v>46172</v>
      </c>
      <c r="C804" s="60" t="n">
        <v>46175</v>
      </c>
      <c r="D804" s="87" t="inlineStr">
        <is>
          <t>MATHEUS BOLGAR DOS SANTOS</t>
        </is>
      </c>
      <c r="E804" s="87" t="inlineStr">
        <is>
          <t>Azul</t>
        </is>
      </c>
      <c r="F804" s="87" t="inlineStr">
        <is>
          <t>Jacqueline</t>
        </is>
      </c>
      <c r="G804" s="87" t="inlineStr">
        <is>
          <t>F</t>
        </is>
      </c>
      <c r="H804" s="78" t="n">
        <v>5521971889784</v>
      </c>
      <c r="I804" s="87" t="inlineStr">
        <is>
          <t>Novo</t>
        </is>
      </c>
      <c r="J804" s="87" t="inlineStr">
        <is>
          <t>Assinado</t>
        </is>
      </c>
      <c r="K804" s="60" t="n">
        <v>46178</v>
      </c>
      <c r="L804" s="87">
        <f>TEXT(A804,"mmmm")</f>
        <v/>
      </c>
    </row>
    <row r="805">
      <c r="A805" s="60" t="n">
        <v>46170</v>
      </c>
      <c r="B805" s="60" t="n">
        <v>46173</v>
      </c>
      <c r="C805" s="60" t="n">
        <v>46176</v>
      </c>
      <c r="D805" s="87" t="inlineStr">
        <is>
          <t>MARCIO ADAO MAXIMIANO</t>
        </is>
      </c>
      <c r="E805" s="87" t="inlineStr">
        <is>
          <t>Mapfre</t>
        </is>
      </c>
      <c r="F805" s="87" t="inlineStr">
        <is>
          <t>Leticia</t>
        </is>
      </c>
      <c r="G805" s="87" t="inlineStr">
        <is>
          <t>F</t>
        </is>
      </c>
      <c r="H805" s="78" t="n">
        <v>5519998371737</v>
      </c>
      <c r="I805" s="87" t="inlineStr">
        <is>
          <t>Novo</t>
        </is>
      </c>
      <c r="J805" s="87" t="inlineStr">
        <is>
          <t>Assinado</t>
        </is>
      </c>
      <c r="K805" s="60" t="n">
        <v>46179</v>
      </c>
      <c r="L805" s="87">
        <f>TEXT(A805,"mmmm")</f>
        <v/>
      </c>
    </row>
    <row r="806">
      <c r="A806" s="60" t="n">
        <v>46170</v>
      </c>
      <c r="B806" s="60" t="n">
        <v>46173</v>
      </c>
      <c r="C806" s="60" t="n">
        <v>46176</v>
      </c>
      <c r="D806" s="87" t="inlineStr">
        <is>
          <t>KAIQUE DOS SANTOS PAIVA</t>
        </is>
      </c>
      <c r="E806" s="87" t="inlineStr">
        <is>
          <t>Suhai</t>
        </is>
      </c>
      <c r="F806" s="87" t="inlineStr">
        <is>
          <t>Leticia</t>
        </is>
      </c>
      <c r="G806" s="87" t="inlineStr">
        <is>
          <t>F</t>
        </is>
      </c>
      <c r="H806" s="78" t="n">
        <v>5511958558605</v>
      </c>
      <c r="I806" s="87" t="inlineStr">
        <is>
          <t>Novo</t>
        </is>
      </c>
      <c r="J806" s="87" t="inlineStr">
        <is>
          <t>Assinado</t>
        </is>
      </c>
      <c r="K806" s="60" t="n">
        <v>46179</v>
      </c>
      <c r="L806" s="87">
        <f>TEXT(A806,"mmmm")</f>
        <v/>
      </c>
    </row>
    <row r="807">
      <c r="A807" s="60" t="n">
        <v>46170</v>
      </c>
      <c r="B807" s="60" t="n">
        <v>46173</v>
      </c>
      <c r="C807" s="60" t="n">
        <v>46176</v>
      </c>
      <c r="D807" s="87" t="inlineStr">
        <is>
          <t>DIOGO BATISTA SANTOS SILVA</t>
        </is>
      </c>
      <c r="E807" s="87" t="inlineStr">
        <is>
          <t>Azul</t>
        </is>
      </c>
      <c r="F807" s="87" t="inlineStr">
        <is>
          <t>Jacqueline</t>
        </is>
      </c>
      <c r="G807" s="87" t="inlineStr">
        <is>
          <t>F</t>
        </is>
      </c>
      <c r="H807" s="78" t="n">
        <v>5511949863027</v>
      </c>
      <c r="I807" s="87" t="inlineStr">
        <is>
          <t>Novo</t>
        </is>
      </c>
      <c r="J807" s="87" t="inlineStr">
        <is>
          <t>Assinado(manual)</t>
        </is>
      </c>
      <c r="K807" s="60" t="n">
        <v>46179</v>
      </c>
      <c r="L807" s="87">
        <f>TEXT(A807,"mmmm")</f>
        <v/>
      </c>
    </row>
    <row r="808">
      <c r="A808" s="60" t="n">
        <v>46170</v>
      </c>
      <c r="B808" s="60" t="n">
        <v>46173</v>
      </c>
      <c r="C808" s="60" t="n">
        <v>46176</v>
      </c>
      <c r="D808" s="87" t="inlineStr">
        <is>
          <t>ONASSIS LEE FEITEIRO</t>
        </is>
      </c>
      <c r="E808" s="87" t="inlineStr">
        <is>
          <t>Porto</t>
        </is>
      </c>
      <c r="F808" s="87" t="inlineStr">
        <is>
          <t>Jacqueline</t>
        </is>
      </c>
      <c r="G808" s="87" t="inlineStr">
        <is>
          <t>F</t>
        </is>
      </c>
      <c r="H808" s="78" t="n">
        <v>5511932328607</v>
      </c>
      <c r="I808" s="87" t="inlineStr">
        <is>
          <t>Novo</t>
        </is>
      </c>
      <c r="J808" s="87" t="inlineStr">
        <is>
          <t>Assinado</t>
        </is>
      </c>
      <c r="K808" s="60" t="n">
        <v>46179</v>
      </c>
      <c r="L808" s="87">
        <f>TEXT(A808,"mmmm")</f>
        <v/>
      </c>
    </row>
    <row r="809">
      <c r="A809" s="60" t="n">
        <v>46170</v>
      </c>
      <c r="B809" s="60" t="n">
        <v>46173</v>
      </c>
      <c r="C809" s="60" t="n">
        <v>46176</v>
      </c>
      <c r="D809" s="87" t="inlineStr">
        <is>
          <t>MARCELO RODRIGUES DE OLIVEIRA</t>
        </is>
      </c>
      <c r="E809" s="87" t="inlineStr">
        <is>
          <t>Porto</t>
        </is>
      </c>
      <c r="F809" s="87" t="inlineStr">
        <is>
          <t>John</t>
        </is>
      </c>
      <c r="G809" s="87" t="inlineStr">
        <is>
          <t>M</t>
        </is>
      </c>
      <c r="H809" s="78" t="n">
        <v>5516997243951</v>
      </c>
      <c r="I809" s="87" t="inlineStr">
        <is>
          <t>Novo</t>
        </is>
      </c>
      <c r="J809" s="87" t="inlineStr">
        <is>
          <t>Assinado</t>
        </is>
      </c>
      <c r="K809" s="60" t="n">
        <v>46179</v>
      </c>
      <c r="L809" s="87">
        <f>TEXT(A809,"mmmm")</f>
        <v/>
      </c>
    </row>
    <row r="810">
      <c r="A810" s="60" t="n">
        <v>46170</v>
      </c>
      <c r="B810" s="60" t="n">
        <v>46173</v>
      </c>
      <c r="C810" s="60" t="n">
        <v>46176</v>
      </c>
      <c r="D810" s="87" t="inlineStr">
        <is>
          <t>JOSE ROSENILDO DE SOUSA</t>
        </is>
      </c>
      <c r="E810" s="87" t="inlineStr">
        <is>
          <t>Tokio</t>
        </is>
      </c>
      <c r="F810" s="87" t="inlineStr">
        <is>
          <t>Enzo</t>
        </is>
      </c>
      <c r="G810" s="87" t="inlineStr">
        <is>
          <t>M</t>
        </is>
      </c>
      <c r="H810" s="78" t="n">
        <v>5511984336736</v>
      </c>
      <c r="I810" s="87" t="inlineStr">
        <is>
          <t>Novo</t>
        </is>
      </c>
      <c r="J810" s="87" t="inlineStr">
        <is>
          <t>Assinado</t>
        </is>
      </c>
      <c r="K810" s="60" t="n">
        <v>46179</v>
      </c>
      <c r="L810" s="87">
        <f>TEXT(A810,"mmmm")</f>
        <v/>
      </c>
    </row>
    <row r="811">
      <c r="A811" s="60" t="n">
        <v>46170</v>
      </c>
      <c r="B811" s="60" t="n">
        <v>46173</v>
      </c>
      <c r="C811" s="60" t="n">
        <v>46176</v>
      </c>
      <c r="D811" s="87" t="inlineStr">
        <is>
          <t>ANA REGINA MARQUES MAZZARO</t>
        </is>
      </c>
      <c r="E811" s="87" t="inlineStr">
        <is>
          <t>Azul</t>
        </is>
      </c>
      <c r="F811" s="87" t="inlineStr">
        <is>
          <t>Enzo</t>
        </is>
      </c>
      <c r="G811" s="87" t="inlineStr">
        <is>
          <t>M</t>
        </is>
      </c>
      <c r="H811" s="78" t="n">
        <v>5518981713266</v>
      </c>
      <c r="I811" s="87" t="inlineStr">
        <is>
          <t>Novo</t>
        </is>
      </c>
      <c r="J811" s="87" t="inlineStr">
        <is>
          <t>Assinado</t>
        </is>
      </c>
      <c r="K811" s="60" t="n">
        <v>46179</v>
      </c>
      <c r="L811" s="87">
        <f>TEXT(A811,"mmmm")</f>
        <v/>
      </c>
    </row>
    <row r="812">
      <c r="A812" s="60" t="n">
        <v>46170</v>
      </c>
      <c r="B812" s="60" t="n">
        <v>46173</v>
      </c>
      <c r="C812" s="60" t="n">
        <v>46176</v>
      </c>
      <c r="D812" s="87" t="inlineStr">
        <is>
          <t>WILLIAM DE MIRANDA HILLEBRAND</t>
        </is>
      </c>
      <c r="E812" s="87" t="inlineStr">
        <is>
          <t>Azul</t>
        </is>
      </c>
      <c r="F812" s="87" t="inlineStr">
        <is>
          <t>Enzo</t>
        </is>
      </c>
      <c r="G812" s="87" t="inlineStr">
        <is>
          <t>M</t>
        </is>
      </c>
      <c r="H812" s="78" t="n">
        <v>5515998062499</v>
      </c>
      <c r="I812" s="87" t="inlineStr">
        <is>
          <t>Novo</t>
        </is>
      </c>
      <c r="J812" s="87" t="inlineStr">
        <is>
          <t>Envio e-mail</t>
        </is>
      </c>
      <c r="K812" s="60" t="n">
        <v>46179</v>
      </c>
      <c r="L812" s="87">
        <f>TEXT(A812,"mmmm")</f>
        <v/>
      </c>
    </row>
    <row r="813">
      <c r="A813" s="60" t="n">
        <v>46170</v>
      </c>
      <c r="B813" s="60" t="n">
        <v>46173</v>
      </c>
      <c r="C813" s="60" t="n">
        <v>46176</v>
      </c>
      <c r="D813" s="87" t="inlineStr">
        <is>
          <t>ANSELMO LUIZ MAIA CHAVES</t>
        </is>
      </c>
      <c r="E813" s="87" t="inlineStr">
        <is>
          <t>Azul</t>
        </is>
      </c>
      <c r="F813" s="87" t="inlineStr">
        <is>
          <t>Enzo</t>
        </is>
      </c>
      <c r="G813" s="87" t="inlineStr">
        <is>
          <t>M</t>
        </is>
      </c>
      <c r="H813" s="78" t="n">
        <v>5521996338552</v>
      </c>
      <c r="I813" s="87" t="inlineStr">
        <is>
          <t>Novo</t>
        </is>
      </c>
      <c r="J813" s="87" t="inlineStr">
        <is>
          <t>Assinado</t>
        </is>
      </c>
      <c r="K813" s="60" t="n">
        <v>46179</v>
      </c>
      <c r="L813" s="87">
        <f>TEXT(A813,"mmmm")</f>
        <v/>
      </c>
    </row>
    <row r="814">
      <c r="A814" s="60" t="n">
        <v>46170</v>
      </c>
      <c r="B814" s="60" t="n">
        <v>46173</v>
      </c>
      <c r="C814" s="60" t="n">
        <v>46176</v>
      </c>
      <c r="D814" s="87" t="inlineStr">
        <is>
          <t>MIGUEL PINTO FILHO</t>
        </is>
      </c>
      <c r="E814" s="87" t="inlineStr">
        <is>
          <t>Azul</t>
        </is>
      </c>
      <c r="F814" s="87" t="inlineStr">
        <is>
          <t>Enzo</t>
        </is>
      </c>
      <c r="G814" s="87" t="inlineStr">
        <is>
          <t>M</t>
        </is>
      </c>
      <c r="H814" s="78" t="n">
        <v>5531994857754</v>
      </c>
      <c r="I814" s="87" t="inlineStr">
        <is>
          <t>Novo</t>
        </is>
      </c>
      <c r="J814" s="87" t="inlineStr">
        <is>
          <t>Envio e-mail</t>
        </is>
      </c>
      <c r="K814" s="60" t="n">
        <v>46179</v>
      </c>
      <c r="L814" s="87">
        <f>TEXT(A814,"mmmm")</f>
        <v/>
      </c>
    </row>
    <row r="815">
      <c r="A815" s="60" t="n">
        <v>46170</v>
      </c>
      <c r="B815" s="60" t="n">
        <v>46173</v>
      </c>
      <c r="C815" s="60" t="n">
        <v>46176</v>
      </c>
      <c r="D815" s="87" t="inlineStr">
        <is>
          <t>ROMARIO OLIVEIRA DE JESUS</t>
        </is>
      </c>
      <c r="E815" s="87" t="inlineStr">
        <is>
          <t>Tokio</t>
        </is>
      </c>
      <c r="F815" s="87" t="inlineStr">
        <is>
          <t>Isabella</t>
        </is>
      </c>
      <c r="G815" s="87" t="inlineStr">
        <is>
          <t>F</t>
        </is>
      </c>
      <c r="H815" s="78" t="n">
        <v>5511947308327</v>
      </c>
      <c r="I815" s="87" t="inlineStr">
        <is>
          <t>Novo</t>
        </is>
      </c>
      <c r="J815" s="87" t="inlineStr">
        <is>
          <t>Erro</t>
        </is>
      </c>
      <c r="K815" s="60" t="n">
        <v>46179</v>
      </c>
      <c r="L815" s="87">
        <f>TEXT(A815,"mmmm")</f>
        <v/>
      </c>
    </row>
    <row r="816">
      <c r="A816" s="60" t="n">
        <v>46170</v>
      </c>
      <c r="B816" s="60" t="n">
        <v>46173</v>
      </c>
      <c r="C816" s="60" t="n">
        <v>46176</v>
      </c>
      <c r="D816" s="87" t="inlineStr">
        <is>
          <t>DANILO ALVES BORGES</t>
        </is>
      </c>
      <c r="E816" s="87" t="inlineStr">
        <is>
          <t>Tokio</t>
        </is>
      </c>
      <c r="F816" s="87" t="inlineStr">
        <is>
          <t>Isabella</t>
        </is>
      </c>
      <c r="G816" s="87" t="inlineStr">
        <is>
          <t>F</t>
        </is>
      </c>
      <c r="H816" s="78" t="n">
        <v>5511970333366</v>
      </c>
      <c r="I816" s="87" t="inlineStr">
        <is>
          <t>Novo</t>
        </is>
      </c>
      <c r="J816" s="87" t="inlineStr">
        <is>
          <t>Assinado</t>
        </is>
      </c>
      <c r="K816" s="60" t="n">
        <v>46179</v>
      </c>
      <c r="L816" s="87">
        <f>TEXT(A816,"mmmm")</f>
        <v/>
      </c>
    </row>
    <row r="817">
      <c r="A817" s="60" t="n">
        <v>46170</v>
      </c>
      <c r="B817" s="60" t="n">
        <v>46173</v>
      </c>
      <c r="C817" s="60" t="n">
        <v>46176</v>
      </c>
      <c r="D817" s="87" t="inlineStr">
        <is>
          <t>SERGIO LUIZ ESPERANCA</t>
        </is>
      </c>
      <c r="E817" s="87" t="inlineStr">
        <is>
          <t>Tokio</t>
        </is>
      </c>
      <c r="F817" s="87" t="inlineStr">
        <is>
          <t>Jacqueline</t>
        </is>
      </c>
      <c r="G817" s="87" t="inlineStr">
        <is>
          <t>F</t>
        </is>
      </c>
      <c r="H817" s="78" t="n">
        <v>5511993767028</v>
      </c>
      <c r="I817" s="87" t="inlineStr">
        <is>
          <t>Novo</t>
        </is>
      </c>
      <c r="J817" s="87" t="inlineStr">
        <is>
          <t>Assinado</t>
        </is>
      </c>
      <c r="K817" s="60" t="n">
        <v>46179</v>
      </c>
      <c r="L817" s="87">
        <f>TEXT(A817,"mmmm")</f>
        <v/>
      </c>
    </row>
    <row r="818">
      <c r="A818" s="60" t="n">
        <v>46170</v>
      </c>
      <c r="B818" s="60" t="n">
        <v>46173</v>
      </c>
      <c r="C818" s="60" t="n">
        <v>46176</v>
      </c>
      <c r="D818" s="87" t="inlineStr">
        <is>
          <t>EMERSON JOSE DOS REIS</t>
        </is>
      </c>
      <c r="E818" s="87" t="inlineStr">
        <is>
          <t>Azul</t>
        </is>
      </c>
      <c r="F818" s="87" t="inlineStr">
        <is>
          <t>John</t>
        </is>
      </c>
      <c r="G818" s="87" t="inlineStr">
        <is>
          <t>M</t>
        </is>
      </c>
      <c r="H818" s="78" t="n">
        <v>5511984286356</v>
      </c>
      <c r="I818" s="87" t="inlineStr">
        <is>
          <t>Novo</t>
        </is>
      </c>
      <c r="J818" s="87" t="inlineStr">
        <is>
          <t>Cancelado</t>
        </is>
      </c>
      <c r="K818" s="60" t="n">
        <v>46179</v>
      </c>
      <c r="L818" s="87">
        <f>TEXT(A818,"mmmm")</f>
        <v/>
      </c>
    </row>
    <row r="819">
      <c r="A819" s="60" t="n">
        <v>46170</v>
      </c>
      <c r="B819" s="60" t="n">
        <v>46173</v>
      </c>
      <c r="C819" s="60" t="n">
        <v>46176</v>
      </c>
      <c r="D819" s="87" t="inlineStr">
        <is>
          <t>WALDIR CREPALDI JUNIOR</t>
        </is>
      </c>
      <c r="E819" s="87" t="inlineStr">
        <is>
          <t>Azul</t>
        </is>
      </c>
      <c r="F819" s="87" t="inlineStr">
        <is>
          <t>John</t>
        </is>
      </c>
      <c r="G819" s="87" t="inlineStr">
        <is>
          <t>M</t>
        </is>
      </c>
      <c r="H819" s="78" t="n">
        <v>5511960834216</v>
      </c>
      <c r="I819" s="87" t="inlineStr">
        <is>
          <t>Renovação</t>
        </is>
      </c>
      <c r="J819" s="87" t="inlineStr">
        <is>
          <t>Assinado</t>
        </is>
      </c>
      <c r="K819" s="60" t="n">
        <v>46179</v>
      </c>
      <c r="L819" s="87">
        <f>TEXT(A819,"mmmm")</f>
        <v/>
      </c>
    </row>
    <row r="820">
      <c r="A820" s="60" t="n">
        <v>46170</v>
      </c>
      <c r="B820" s="60" t="n">
        <v>46173</v>
      </c>
      <c r="C820" s="60" t="n">
        <v>46176</v>
      </c>
      <c r="D820" s="87" t="inlineStr">
        <is>
          <t>MILLENE DE SOUZA ROSA DA SILVA</t>
        </is>
      </c>
      <c r="E820" s="87" t="inlineStr">
        <is>
          <t>Porto</t>
        </is>
      </c>
      <c r="F820" s="87" t="inlineStr">
        <is>
          <t>John</t>
        </is>
      </c>
      <c r="G820" s="87" t="inlineStr">
        <is>
          <t>M</t>
        </is>
      </c>
      <c r="H820" s="78" t="n">
        <v>5511984954011</v>
      </c>
      <c r="I820" s="87" t="inlineStr">
        <is>
          <t>Novo</t>
        </is>
      </c>
      <c r="J820" s="87" t="inlineStr">
        <is>
          <t>Assinado</t>
        </is>
      </c>
      <c r="K820" s="60" t="n">
        <v>46179</v>
      </c>
      <c r="L820" s="87">
        <f>TEXT(A820,"mmmm")</f>
        <v/>
      </c>
    </row>
    <row r="821">
      <c r="A821" s="60" t="n">
        <v>46171</v>
      </c>
      <c r="B821" s="60" t="n">
        <v>46174</v>
      </c>
      <c r="C821" s="60" t="n">
        <v>46177</v>
      </c>
      <c r="D821" s="87" t="inlineStr">
        <is>
          <t>ANA CAROLINA ALVES ROCHA</t>
        </is>
      </c>
      <c r="E821" s="87" t="inlineStr">
        <is>
          <t>Suhai</t>
        </is>
      </c>
      <c r="F821" s="87" t="inlineStr">
        <is>
          <t>Isabella</t>
        </is>
      </c>
      <c r="G821" s="87" t="inlineStr">
        <is>
          <t>F</t>
        </is>
      </c>
      <c r="H821" s="78" t="n">
        <v>5511992562083</v>
      </c>
      <c r="I821" s="87" t="inlineStr">
        <is>
          <t>Novo</t>
        </is>
      </c>
      <c r="J821" s="87" t="inlineStr">
        <is>
          <t>Assinado</t>
        </is>
      </c>
      <c r="K821" s="60" t="n">
        <v>46180</v>
      </c>
      <c r="L821" s="87">
        <f>TEXT(A821,"mmmm")</f>
        <v/>
      </c>
    </row>
    <row r="822">
      <c r="A822" s="60" t="n">
        <v>46171</v>
      </c>
      <c r="B822" s="60" t="n">
        <v>46174</v>
      </c>
      <c r="C822" s="60" t="n">
        <v>46177</v>
      </c>
      <c r="D822" s="87" t="inlineStr">
        <is>
          <t>ELIANA BARRETO WINGTER</t>
        </is>
      </c>
      <c r="E822" s="87" t="inlineStr">
        <is>
          <t>Tokio</t>
        </is>
      </c>
      <c r="F822" s="87" t="inlineStr">
        <is>
          <t>Leticia</t>
        </is>
      </c>
      <c r="G822" s="87" t="inlineStr">
        <is>
          <t>F</t>
        </is>
      </c>
      <c r="H822" s="78" t="n">
        <v>5511979984719</v>
      </c>
      <c r="I822" s="87" t="inlineStr">
        <is>
          <t>Novo</t>
        </is>
      </c>
      <c r="J822" s="87" t="inlineStr">
        <is>
          <t>Assinado</t>
        </is>
      </c>
      <c r="K822" s="60" t="n">
        <v>46180</v>
      </c>
      <c r="L822" s="87">
        <f>TEXT(A822,"mmmm")</f>
        <v/>
      </c>
    </row>
    <row r="823">
      <c r="A823" s="60" t="n">
        <v>46171</v>
      </c>
      <c r="B823" s="60" t="n">
        <v>46174</v>
      </c>
      <c r="C823" s="60" t="n">
        <v>46177</v>
      </c>
      <c r="D823" s="87" t="inlineStr">
        <is>
          <t>LEONARDO SOUZA DA SILVA</t>
        </is>
      </c>
      <c r="E823" s="87" t="inlineStr">
        <is>
          <t>Porto</t>
        </is>
      </c>
      <c r="F823" s="87" t="inlineStr">
        <is>
          <t>Leticia</t>
        </is>
      </c>
      <c r="G823" s="87" t="inlineStr">
        <is>
          <t>F</t>
        </is>
      </c>
      <c r="H823" s="78" t="n">
        <v>5511947651506</v>
      </c>
      <c r="I823" s="87" t="inlineStr">
        <is>
          <t>Renovação</t>
        </is>
      </c>
      <c r="J823" s="87" t="inlineStr">
        <is>
          <t>Na planilha</t>
        </is>
      </c>
      <c r="K823" s="60" t="n">
        <v>46180</v>
      </c>
      <c r="L823" s="87">
        <f>TEXT(A823,"mmmm")</f>
        <v/>
      </c>
    </row>
    <row r="824">
      <c r="A824" s="60" t="n">
        <v>46171</v>
      </c>
      <c r="B824" s="60" t="n">
        <v>46174</v>
      </c>
      <c r="C824" s="60" t="n">
        <v>46177</v>
      </c>
      <c r="D824" s="87" t="inlineStr">
        <is>
          <t>JOCIANE DE FARIAS DELMONDES</t>
        </is>
      </c>
      <c r="E824" s="87" t="inlineStr">
        <is>
          <t>Bradesco</t>
        </is>
      </c>
      <c r="F824" s="87" t="inlineStr">
        <is>
          <t>Jéssica</t>
        </is>
      </c>
      <c r="G824" s="87" t="inlineStr">
        <is>
          <t>F</t>
        </is>
      </c>
      <c r="H824" s="76" t="n">
        <v>5567991871076</v>
      </c>
      <c r="I824" s="87" t="inlineStr">
        <is>
          <t>Novo</t>
        </is>
      </c>
      <c r="J824" s="87" t="inlineStr">
        <is>
          <t>Assinado</t>
        </is>
      </c>
      <c r="K824" s="60" t="n">
        <v>46180</v>
      </c>
      <c r="L824" s="87">
        <f>TEXT(A824,"mmmm")</f>
        <v/>
      </c>
    </row>
    <row r="825">
      <c r="A825" s="60" t="n">
        <v>46174</v>
      </c>
      <c r="B825" s="60" t="n">
        <v>46177</v>
      </c>
      <c r="C825" s="60" t="n">
        <v>46180</v>
      </c>
      <c r="D825" s="87" t="inlineStr">
        <is>
          <t>MAGNO MAGALHAES DA SILVA</t>
        </is>
      </c>
      <c r="E825" s="87" t="inlineStr">
        <is>
          <t>Suhai</t>
        </is>
      </c>
      <c r="F825" s="87" t="inlineStr">
        <is>
          <t>John</t>
        </is>
      </c>
      <c r="G825" s="87" t="inlineStr">
        <is>
          <t>M</t>
        </is>
      </c>
      <c r="H825" s="76" t="n">
        <v>5519987155048</v>
      </c>
      <c r="I825" s="87" t="inlineStr">
        <is>
          <t>Renovação</t>
        </is>
      </c>
      <c r="J825" s="87" t="inlineStr">
        <is>
          <t>Assinado</t>
        </is>
      </c>
      <c r="K825" s="60" t="n">
        <v>46183</v>
      </c>
      <c r="L825" s="87">
        <f>TEXT(A825,"mmmm")</f>
        <v/>
      </c>
    </row>
    <row r="826">
      <c r="A826" s="60" t="n">
        <v>46174</v>
      </c>
      <c r="B826" s="60" t="n">
        <v>46177</v>
      </c>
      <c r="C826" s="60" t="n">
        <v>46180</v>
      </c>
      <c r="D826" s="87" t="inlineStr">
        <is>
          <t>JOSE LUCIVAN OLIVEIRA DE MELO</t>
        </is>
      </c>
      <c r="E826" s="87" t="inlineStr">
        <is>
          <t>Porto</t>
        </is>
      </c>
      <c r="F826" s="87" t="inlineStr">
        <is>
          <t>John</t>
        </is>
      </c>
      <c r="G826" s="87" t="inlineStr">
        <is>
          <t>M</t>
        </is>
      </c>
      <c r="H826" s="78" t="n">
        <v>5511954837420</v>
      </c>
      <c r="I826" s="87" t="inlineStr">
        <is>
          <t>Renovação</t>
        </is>
      </c>
      <c r="J826" s="87" t="inlineStr">
        <is>
          <t>Assinado</t>
        </is>
      </c>
      <c r="K826" s="60" t="n">
        <v>46183</v>
      </c>
      <c r="L826" s="87">
        <f>TEXT(A826,"mmmm")</f>
        <v/>
      </c>
    </row>
    <row r="827">
      <c r="A827" s="60" t="n">
        <v>46174</v>
      </c>
      <c r="B827" s="60" t="n">
        <v>46177</v>
      </c>
      <c r="C827" s="60" t="n">
        <v>46180</v>
      </c>
      <c r="D827" s="87" t="inlineStr">
        <is>
          <t>PAULO LOPES DA SILVA JUNIOR</t>
        </is>
      </c>
      <c r="E827" s="87" t="inlineStr">
        <is>
          <t>Azul</t>
        </is>
      </c>
      <c r="F827" s="87" t="inlineStr">
        <is>
          <t>John</t>
        </is>
      </c>
      <c r="G827" s="87" t="inlineStr">
        <is>
          <t>M</t>
        </is>
      </c>
      <c r="H827" s="78" t="n">
        <v>5511953441694</v>
      </c>
      <c r="I827" s="87" t="inlineStr">
        <is>
          <t>Novo</t>
        </is>
      </c>
      <c r="J827" s="87" t="inlineStr">
        <is>
          <t>Assinado</t>
        </is>
      </c>
      <c r="K827" s="60" t="n">
        <v>46183</v>
      </c>
      <c r="L827" s="87">
        <f>TEXT(A827,"mmmm")</f>
        <v/>
      </c>
    </row>
    <row r="828">
      <c r="A828" s="60" t="n">
        <v>46174</v>
      </c>
      <c r="B828" s="60" t="n">
        <v>46177</v>
      </c>
      <c r="C828" s="60" t="n">
        <v>46180</v>
      </c>
      <c r="D828" s="87" t="inlineStr">
        <is>
          <t>FRANCISCO ZENILDO ALVES DE SOUSA</t>
        </is>
      </c>
      <c r="E828" s="87" t="inlineStr">
        <is>
          <t>Suhai</t>
        </is>
      </c>
      <c r="F828" s="87" t="inlineStr">
        <is>
          <t>Myrelle</t>
        </is>
      </c>
      <c r="G828" s="87" t="inlineStr">
        <is>
          <t>F</t>
        </is>
      </c>
      <c r="H828" s="78" t="n">
        <v>5512996127226</v>
      </c>
      <c r="I828" s="87" t="inlineStr">
        <is>
          <t>Novo</t>
        </is>
      </c>
      <c r="J828" s="87" t="inlineStr">
        <is>
          <t>Assinado</t>
        </is>
      </c>
      <c r="K828" s="60" t="n">
        <v>46183</v>
      </c>
      <c r="L828" s="87">
        <f>TEXT(A828,"mmmm")</f>
        <v/>
      </c>
    </row>
    <row r="829">
      <c r="A829" s="60" t="n">
        <v>46174</v>
      </c>
      <c r="B829" s="60" t="n">
        <v>46177</v>
      </c>
      <c r="C829" s="60" t="n">
        <v>46180</v>
      </c>
      <c r="D829" s="87" t="inlineStr">
        <is>
          <t>REINALDO ANTONIO CALHEIRANI</t>
        </is>
      </c>
      <c r="E829" s="87" t="inlineStr">
        <is>
          <t>Azul</t>
        </is>
      </c>
      <c r="F829" s="87" t="inlineStr">
        <is>
          <t>John</t>
        </is>
      </c>
      <c r="G829" s="87" t="inlineStr">
        <is>
          <t>M</t>
        </is>
      </c>
      <c r="H829" s="75" t="n">
        <v>5519982144605</v>
      </c>
      <c r="I829" s="87" t="inlineStr">
        <is>
          <t>Novo</t>
        </is>
      </c>
      <c r="J829" s="87" t="inlineStr">
        <is>
          <t>Na planilha</t>
        </is>
      </c>
      <c r="K829" s="60" t="n">
        <v>46190</v>
      </c>
      <c r="L829" s="87">
        <f>TEXT(A829,"mmmm")</f>
        <v/>
      </c>
    </row>
    <row r="830">
      <c r="A830" s="60" t="n">
        <v>46174</v>
      </c>
      <c r="B830" s="60" t="n">
        <v>46177</v>
      </c>
      <c r="C830" s="60" t="n">
        <v>46180</v>
      </c>
      <c r="D830" s="87" t="inlineStr">
        <is>
          <t>GILBERTO DA SILVA CANDIDO</t>
        </is>
      </c>
      <c r="E830" s="87" t="inlineStr">
        <is>
          <t>Porto</t>
        </is>
      </c>
      <c r="F830" s="87" t="inlineStr">
        <is>
          <t>John</t>
        </is>
      </c>
      <c r="G830" s="87" t="inlineStr">
        <is>
          <t>M</t>
        </is>
      </c>
      <c r="H830" s="78" t="n">
        <v>5512991719388</v>
      </c>
      <c r="I830" s="87" t="inlineStr">
        <is>
          <t>Novo</t>
        </is>
      </c>
      <c r="J830" s="87" t="inlineStr">
        <is>
          <t>Assinado</t>
        </is>
      </c>
      <c r="K830" s="60" t="n">
        <v>46183</v>
      </c>
      <c r="L830" s="87">
        <f>TEXT(A830,"mmmm")</f>
        <v/>
      </c>
    </row>
    <row r="831">
      <c r="A831" s="60" t="n">
        <v>46174</v>
      </c>
      <c r="B831" s="60" t="n">
        <v>46177</v>
      </c>
      <c r="C831" s="60" t="n">
        <v>46180</v>
      </c>
      <c r="D831" s="87" t="inlineStr">
        <is>
          <t>GILCEIA GIL DE SOUZA SILVA</t>
        </is>
      </c>
      <c r="E831" s="87" t="inlineStr">
        <is>
          <t>Azul</t>
        </is>
      </c>
      <c r="F831" s="87" t="inlineStr">
        <is>
          <t>Leticia</t>
        </is>
      </c>
      <c r="G831" s="87" t="inlineStr">
        <is>
          <t>F</t>
        </is>
      </c>
      <c r="H831" s="78" t="n">
        <v>5511966061864</v>
      </c>
      <c r="I831" s="87" t="inlineStr">
        <is>
          <t>Novo</t>
        </is>
      </c>
      <c r="J831" s="87" t="inlineStr">
        <is>
          <t>Assinado(manual)</t>
        </is>
      </c>
      <c r="K831" s="60" t="n">
        <v>46183</v>
      </c>
      <c r="L831" s="87">
        <f>TEXT(A831,"mmmm")</f>
        <v/>
      </c>
    </row>
    <row r="832">
      <c r="A832" s="60" t="n">
        <v>46175</v>
      </c>
      <c r="B832" s="60" t="n">
        <v>46178</v>
      </c>
      <c r="C832" s="60" t="n">
        <v>46181</v>
      </c>
      <c r="D832" s="87" t="inlineStr">
        <is>
          <t>SERGIO LUIZ ESPERANCA</t>
        </is>
      </c>
      <c r="E832" s="87" t="inlineStr">
        <is>
          <t>Tokio</t>
        </is>
      </c>
      <c r="F832" s="87" t="inlineStr">
        <is>
          <t>Jacqueline</t>
        </is>
      </c>
      <c r="G832" s="87" t="inlineStr">
        <is>
          <t>F</t>
        </is>
      </c>
      <c r="H832" s="78" t="n">
        <v>5511993767028</v>
      </c>
      <c r="I832" s="87" t="inlineStr">
        <is>
          <t>Novo</t>
        </is>
      </c>
      <c r="J832" s="87" t="inlineStr">
        <is>
          <t>Assinado</t>
        </is>
      </c>
      <c r="K832" s="60" t="n">
        <v>46184</v>
      </c>
      <c r="L832" s="87">
        <f>TEXT(A832,"mmmm")</f>
        <v/>
      </c>
    </row>
    <row r="833">
      <c r="A833" s="60" t="n">
        <v>46175</v>
      </c>
      <c r="B833" s="60" t="n">
        <v>46178</v>
      </c>
      <c r="C833" s="60" t="n">
        <v>46181</v>
      </c>
      <c r="D833" s="87" t="inlineStr">
        <is>
          <t>JULIANA DE SOUZA NASCIMENTO</t>
        </is>
      </c>
      <c r="E833" s="87" t="inlineStr">
        <is>
          <t>Suhai</t>
        </is>
      </c>
      <c r="F833" s="87" t="inlineStr">
        <is>
          <t>Myrelle</t>
        </is>
      </c>
      <c r="G833" s="87" t="inlineStr">
        <is>
          <t>F</t>
        </is>
      </c>
      <c r="H833" s="78" t="n">
        <v>5511958903120</v>
      </c>
      <c r="I833" s="87" t="inlineStr">
        <is>
          <t>Novo</t>
        </is>
      </c>
      <c r="J833" s="87" t="inlineStr">
        <is>
          <t>Assinado</t>
        </is>
      </c>
      <c r="K833" s="60" t="n">
        <v>46184</v>
      </c>
      <c r="L833" s="87">
        <f>TEXT(A833,"mmmm")</f>
        <v/>
      </c>
    </row>
    <row r="834">
      <c r="A834" s="60" t="n">
        <v>46176</v>
      </c>
      <c r="B834" s="60" t="n">
        <v>46179</v>
      </c>
      <c r="C834" s="60" t="n">
        <v>46182</v>
      </c>
      <c r="D834" s="87" t="inlineStr">
        <is>
          <t>ADRIEL FRANCISCO SANTOS DA SILVA</t>
        </is>
      </c>
      <c r="E834" s="87" t="inlineStr">
        <is>
          <t>Azul</t>
        </is>
      </c>
      <c r="F834" s="87" t="inlineStr">
        <is>
          <t>John</t>
        </is>
      </c>
      <c r="G834" s="87" t="inlineStr">
        <is>
          <t>M</t>
        </is>
      </c>
      <c r="H834" s="75" t="n">
        <v>5511983000499</v>
      </c>
      <c r="I834" s="87" t="inlineStr">
        <is>
          <t>Novo</t>
        </is>
      </c>
      <c r="J834" s="87" t="inlineStr">
        <is>
          <t>Assinado</t>
        </is>
      </c>
      <c r="K834" s="60" t="n">
        <v>46185</v>
      </c>
      <c r="L834" s="87">
        <f>TEXT(A834,"mmmm")</f>
        <v/>
      </c>
    </row>
    <row r="835">
      <c r="A835" s="60" t="n">
        <v>46175</v>
      </c>
      <c r="B835" s="60" t="n">
        <v>46178</v>
      </c>
      <c r="C835" s="60" t="n">
        <v>46181</v>
      </c>
      <c r="D835" s="87" t="inlineStr">
        <is>
          <t>GADIEL RIBEIRO SOARES</t>
        </is>
      </c>
      <c r="E835" s="87" t="inlineStr">
        <is>
          <t>Suhai</t>
        </is>
      </c>
      <c r="F835" s="87" t="inlineStr">
        <is>
          <t>Isabella</t>
        </is>
      </c>
      <c r="G835" s="87" t="inlineStr">
        <is>
          <t>F</t>
        </is>
      </c>
      <c r="H835" s="76" t="n">
        <v>5516974057979</v>
      </c>
      <c r="I835" s="87" t="inlineStr">
        <is>
          <t>Novo</t>
        </is>
      </c>
      <c r="J835" s="87" t="inlineStr">
        <is>
          <t>Assinado</t>
        </is>
      </c>
      <c r="K835" s="60" t="n">
        <v>46184</v>
      </c>
      <c r="L835" s="87">
        <f>TEXT(A835,"mmmm")</f>
        <v/>
      </c>
    </row>
    <row r="836">
      <c r="A836" s="60" t="n">
        <v>46175</v>
      </c>
      <c r="B836" s="60" t="n">
        <v>46178</v>
      </c>
      <c r="C836" s="60" t="n">
        <v>46181</v>
      </c>
      <c r="D836" s="87" t="inlineStr">
        <is>
          <t>NADI GUEDES IANELLI LEITE</t>
        </is>
      </c>
      <c r="E836" s="87" t="inlineStr">
        <is>
          <t>Suhai</t>
        </is>
      </c>
      <c r="F836" s="87" t="inlineStr">
        <is>
          <t>Jéssica</t>
        </is>
      </c>
      <c r="G836" s="87" t="inlineStr">
        <is>
          <t>F</t>
        </is>
      </c>
      <c r="H836" s="78" t="n">
        <v>5511980662443</v>
      </c>
      <c r="I836" s="87" t="inlineStr">
        <is>
          <t>Novo</t>
        </is>
      </c>
      <c r="J836" s="87" t="inlineStr">
        <is>
          <t>Assinado</t>
        </is>
      </c>
      <c r="K836" s="60" t="n">
        <v>46184</v>
      </c>
      <c r="L836" s="87">
        <f>TEXT(A836,"mmmm")</f>
        <v/>
      </c>
    </row>
    <row r="837">
      <c r="A837" s="60" t="n">
        <v>46175</v>
      </c>
      <c r="B837" s="60" t="n">
        <v>46178</v>
      </c>
      <c r="C837" s="60" t="n">
        <v>46181</v>
      </c>
      <c r="D837" s="87" t="inlineStr">
        <is>
          <t>VITOR HUGO DE ABREU LAURIANO PINHEIRO</t>
        </is>
      </c>
      <c r="E837" s="87" t="inlineStr">
        <is>
          <t>Suhai</t>
        </is>
      </c>
      <c r="F837" s="87" t="inlineStr">
        <is>
          <t>John</t>
        </is>
      </c>
      <c r="G837" s="87" t="inlineStr">
        <is>
          <t>M</t>
        </is>
      </c>
      <c r="H837" s="78" t="n">
        <v>5511958127803</v>
      </c>
      <c r="I837" s="87" t="inlineStr">
        <is>
          <t>Renovação</t>
        </is>
      </c>
      <c r="J837" s="87" t="inlineStr">
        <is>
          <t>Assinado</t>
        </is>
      </c>
      <c r="K837" s="60" t="n">
        <v>46184</v>
      </c>
      <c r="L837" s="87">
        <f>TEXT(A837,"mmmm")</f>
        <v/>
      </c>
    </row>
    <row r="838">
      <c r="A838" s="60" t="n">
        <v>46175</v>
      </c>
      <c r="B838" s="60" t="n">
        <v>46178</v>
      </c>
      <c r="C838" s="60" t="n">
        <v>46181</v>
      </c>
      <c r="D838" s="87" t="inlineStr">
        <is>
          <t>NIVALDO VITURINO DOS SANTOS</t>
        </is>
      </c>
      <c r="E838" s="87" t="inlineStr">
        <is>
          <t>Suhai</t>
        </is>
      </c>
      <c r="F838" s="87" t="inlineStr">
        <is>
          <t>Myrelle</t>
        </is>
      </c>
      <c r="G838" s="87" t="inlineStr">
        <is>
          <t>F</t>
        </is>
      </c>
      <c r="H838" s="78" t="n">
        <v>5511958903120</v>
      </c>
      <c r="I838" s="87" t="inlineStr">
        <is>
          <t>Novo</t>
        </is>
      </c>
      <c r="J838" s="87" t="inlineStr">
        <is>
          <t>Assinado</t>
        </is>
      </c>
      <c r="K838" s="60" t="n">
        <v>46184</v>
      </c>
      <c r="L838" s="87">
        <f>TEXT(A838,"mmmm")</f>
        <v/>
      </c>
    </row>
    <row r="839">
      <c r="A839" s="60" t="n">
        <v>46175</v>
      </c>
      <c r="B839" s="60" t="n">
        <v>46178</v>
      </c>
      <c r="C839" s="60" t="n">
        <v>46181</v>
      </c>
      <c r="D839" s="87" t="inlineStr">
        <is>
          <t>ARIEL SOARES FERREIRA VILA REAL</t>
        </is>
      </c>
      <c r="E839" s="87" t="inlineStr">
        <is>
          <t>Tokio</t>
        </is>
      </c>
      <c r="F839" s="87" t="inlineStr">
        <is>
          <t>John</t>
        </is>
      </c>
      <c r="G839" s="87" t="inlineStr">
        <is>
          <t>M</t>
        </is>
      </c>
      <c r="H839" s="78" t="n">
        <v>5591985333648</v>
      </c>
      <c r="I839" s="87" t="inlineStr">
        <is>
          <t>Novo</t>
        </is>
      </c>
      <c r="J839" s="87" t="inlineStr">
        <is>
          <t>Assinado</t>
        </is>
      </c>
      <c r="K839" s="60" t="n">
        <v>46184</v>
      </c>
      <c r="L839" s="87">
        <f>TEXT(A839,"mmmm")</f>
        <v/>
      </c>
    </row>
    <row r="840">
      <c r="A840" s="60" t="n">
        <v>46175</v>
      </c>
      <c r="B840" s="60" t="n">
        <v>46178</v>
      </c>
      <c r="C840" s="60" t="n">
        <v>46181</v>
      </c>
      <c r="D840" s="87" t="inlineStr">
        <is>
          <t>THAIS CRISTINA PEREIRA DOS SANTOS SILVA</t>
        </is>
      </c>
      <c r="E840" s="87" t="inlineStr">
        <is>
          <t>Azul</t>
        </is>
      </c>
      <c r="F840" s="87" t="inlineStr">
        <is>
          <t>Leticia</t>
        </is>
      </c>
      <c r="G840" s="87" t="inlineStr">
        <is>
          <t>F</t>
        </is>
      </c>
      <c r="H840" s="78" t="n">
        <v>5511948352948</v>
      </c>
      <c r="I840" s="87" t="inlineStr">
        <is>
          <t>Novo</t>
        </is>
      </c>
      <c r="J840" s="87" t="inlineStr">
        <is>
          <t>Assinado</t>
        </is>
      </c>
      <c r="K840" s="60" t="n">
        <v>46184</v>
      </c>
      <c r="L840" s="87">
        <f>TEXT(A840,"mmmm")</f>
        <v/>
      </c>
    </row>
    <row r="841">
      <c r="A841" s="60" t="n">
        <v>46176</v>
      </c>
      <c r="B841" s="60" t="n">
        <v>46179</v>
      </c>
      <c r="C841" s="60" t="n">
        <v>46182</v>
      </c>
      <c r="D841" s="87" t="inlineStr">
        <is>
          <t>HELIO JUSTINO DA SILVA</t>
        </is>
      </c>
      <c r="E841" s="87" t="inlineStr">
        <is>
          <t>Azul</t>
        </is>
      </c>
      <c r="F841" s="87" t="inlineStr">
        <is>
          <t>Isabella</t>
        </is>
      </c>
      <c r="G841" s="87" t="inlineStr">
        <is>
          <t>F</t>
        </is>
      </c>
      <c r="H841" s="78" t="n">
        <v>5511945013531</v>
      </c>
      <c r="I841" s="87" t="inlineStr">
        <is>
          <t>Novo</t>
        </is>
      </c>
      <c r="J841" s="87" t="inlineStr">
        <is>
          <t>Assinado</t>
        </is>
      </c>
      <c r="K841" s="60" t="n">
        <v>46185</v>
      </c>
      <c r="L841" s="87">
        <f>TEXT(A841,"mmmm")</f>
        <v/>
      </c>
    </row>
    <row r="842">
      <c r="A842" s="60" t="n">
        <v>46176</v>
      </c>
      <c r="B842" s="60" t="n">
        <v>46179</v>
      </c>
      <c r="C842" s="60" t="n">
        <v>46182</v>
      </c>
      <c r="D842" s="87" t="inlineStr">
        <is>
          <t>REINAN SILVA BRITO</t>
        </is>
      </c>
      <c r="E842" s="87" t="inlineStr">
        <is>
          <t>Suhai</t>
        </is>
      </c>
      <c r="F842" s="87" t="inlineStr">
        <is>
          <t>Isabella</t>
        </is>
      </c>
      <c r="G842" s="87" t="inlineStr">
        <is>
          <t>F</t>
        </is>
      </c>
      <c r="H842" s="78" t="n">
        <v>5511994069830</v>
      </c>
      <c r="I842" s="87" t="inlineStr">
        <is>
          <t>Renovação</t>
        </is>
      </c>
      <c r="J842" s="87" t="inlineStr">
        <is>
          <t>Assinado</t>
        </is>
      </c>
      <c r="K842" s="60" t="n">
        <v>46185</v>
      </c>
      <c r="L842" s="87">
        <f>TEXT(A842,"mmmm")</f>
        <v/>
      </c>
    </row>
    <row r="843">
      <c r="A843" s="60" t="n">
        <v>46176</v>
      </c>
      <c r="B843" s="60" t="n">
        <v>46179</v>
      </c>
      <c r="C843" s="60" t="n">
        <v>46182</v>
      </c>
      <c r="D843" s="87" t="inlineStr">
        <is>
          <t>DUARTE JOSE DA SILVA</t>
        </is>
      </c>
      <c r="E843" s="87" t="inlineStr">
        <is>
          <t>Mapfre</t>
        </is>
      </c>
      <c r="F843" s="87" t="inlineStr">
        <is>
          <t>Leticia</t>
        </is>
      </c>
      <c r="G843" s="87" t="inlineStr">
        <is>
          <t>F</t>
        </is>
      </c>
      <c r="H843" s="78" t="n">
        <v>5511962646955</v>
      </c>
      <c r="I843" s="87" t="inlineStr">
        <is>
          <t>Novo</t>
        </is>
      </c>
      <c r="J843" s="87" t="inlineStr">
        <is>
          <t>Assinado</t>
        </is>
      </c>
      <c r="K843" s="60" t="n">
        <v>46185</v>
      </c>
      <c r="L843" s="87">
        <f>TEXT(A843,"mmmm")</f>
        <v/>
      </c>
    </row>
    <row r="844">
      <c r="A844" s="60" t="n">
        <v>46176</v>
      </c>
      <c r="B844" s="60" t="n">
        <v>46179</v>
      </c>
      <c r="C844" s="60" t="n">
        <v>46182</v>
      </c>
      <c r="D844" s="87" t="inlineStr">
        <is>
          <t>FLORISVALDO SANTOS NEPOMUCENO</t>
        </is>
      </c>
      <c r="E844" s="87" t="inlineStr">
        <is>
          <t>Porto</t>
        </is>
      </c>
      <c r="F844" s="87" t="inlineStr">
        <is>
          <t>Leticia</t>
        </is>
      </c>
      <c r="G844" s="87" t="inlineStr">
        <is>
          <t>F</t>
        </is>
      </c>
      <c r="H844" s="78" t="n">
        <v>5515998150211</v>
      </c>
      <c r="I844" s="87" t="inlineStr">
        <is>
          <t>Novo</t>
        </is>
      </c>
      <c r="J844" s="87" t="inlineStr">
        <is>
          <t>Assinado</t>
        </is>
      </c>
      <c r="K844" s="60" t="n">
        <v>46185</v>
      </c>
      <c r="L844" s="87">
        <f>TEXT(A844,"mmmm")</f>
        <v/>
      </c>
    </row>
    <row r="845">
      <c r="A845" s="60" t="n">
        <v>46176</v>
      </c>
      <c r="B845" s="60" t="n">
        <v>46179</v>
      </c>
      <c r="C845" s="60" t="n">
        <v>46182</v>
      </c>
      <c r="D845" s="87" t="inlineStr">
        <is>
          <t>FABRICIO DANTAS FELIX</t>
        </is>
      </c>
      <c r="E845" s="87" t="inlineStr">
        <is>
          <t>Suhai</t>
        </is>
      </c>
      <c r="F845" s="87" t="inlineStr">
        <is>
          <t>Leticia</t>
        </is>
      </c>
      <c r="G845" s="87" t="inlineStr">
        <is>
          <t>F</t>
        </is>
      </c>
      <c r="H845" s="78" t="n">
        <v>5511958917636</v>
      </c>
      <c r="I845" s="87" t="inlineStr">
        <is>
          <t>Novo</t>
        </is>
      </c>
      <c r="J845" s="87" t="inlineStr">
        <is>
          <t>Assinado</t>
        </is>
      </c>
      <c r="K845" s="60" t="n">
        <v>46185</v>
      </c>
      <c r="L845" s="87">
        <f>TEXT(A845,"mmmm")</f>
        <v/>
      </c>
    </row>
    <row r="846">
      <c r="A846" s="60" t="n">
        <v>46176</v>
      </c>
      <c r="B846" s="60" t="n">
        <v>46179</v>
      </c>
      <c r="C846" s="60" t="n">
        <v>46182</v>
      </c>
      <c r="D846" s="87" t="inlineStr">
        <is>
          <t>KAIQUE FERNANDES COSTA DOS SANTOS</t>
        </is>
      </c>
      <c r="E846" s="87" t="inlineStr">
        <is>
          <t>Azul</t>
        </is>
      </c>
      <c r="F846" s="87" t="inlineStr">
        <is>
          <t>John</t>
        </is>
      </c>
      <c r="G846" s="87" t="inlineStr">
        <is>
          <t>M</t>
        </is>
      </c>
      <c r="H846" s="78" t="n">
        <v>5511976649377</v>
      </c>
      <c r="I846" s="87" t="inlineStr">
        <is>
          <t>Novo</t>
        </is>
      </c>
      <c r="J846" s="87" t="inlineStr">
        <is>
          <t>Assinado(manual)</t>
        </is>
      </c>
      <c r="K846" s="60" t="n">
        <v>46185</v>
      </c>
      <c r="L846" s="87">
        <f>TEXT(A846,"mmmm")</f>
        <v/>
      </c>
    </row>
    <row r="847">
      <c r="A847" s="60" t="n">
        <v>46176</v>
      </c>
      <c r="B847" s="60" t="n">
        <v>46179</v>
      </c>
      <c r="C847" s="60" t="n">
        <v>46182</v>
      </c>
      <c r="D847" s="87" t="inlineStr">
        <is>
          <t>MARCOS RIBEIRO SUPPI</t>
        </is>
      </c>
      <c r="E847" s="87" t="inlineStr">
        <is>
          <t>Porto</t>
        </is>
      </c>
      <c r="F847" s="87" t="inlineStr">
        <is>
          <t>John</t>
        </is>
      </c>
      <c r="G847" s="87" t="inlineStr">
        <is>
          <t>M</t>
        </is>
      </c>
      <c r="H847" s="78" t="n">
        <v>5512981828361</v>
      </c>
      <c r="I847" s="87" t="inlineStr">
        <is>
          <t>Novo</t>
        </is>
      </c>
      <c r="J847" s="87" t="inlineStr">
        <is>
          <t>Assinado</t>
        </is>
      </c>
      <c r="K847" s="60" t="n">
        <v>46185</v>
      </c>
      <c r="L847" s="87">
        <f>TEXT(A847,"mmmm")</f>
        <v/>
      </c>
    </row>
    <row r="848">
      <c r="A848" s="60" t="n">
        <v>46176</v>
      </c>
      <c r="B848" s="60" t="n">
        <v>46179</v>
      </c>
      <c r="C848" s="60" t="n">
        <v>46182</v>
      </c>
      <c r="D848" s="87" t="inlineStr">
        <is>
          <t>MIGUEL RABELO DA SILVA</t>
        </is>
      </c>
      <c r="E848" s="87" t="inlineStr">
        <is>
          <t>Suhai</t>
        </is>
      </c>
      <c r="F848" s="87" t="inlineStr">
        <is>
          <t>John</t>
        </is>
      </c>
      <c r="G848" s="87" t="inlineStr">
        <is>
          <t>M</t>
        </is>
      </c>
      <c r="H848" s="78" t="n">
        <v>5511984695880</v>
      </c>
      <c r="I848" s="87" t="inlineStr">
        <is>
          <t>Novo</t>
        </is>
      </c>
      <c r="J848" s="87" t="inlineStr">
        <is>
          <t>Assinado</t>
        </is>
      </c>
      <c r="K848" s="60" t="n">
        <v>46185</v>
      </c>
      <c r="L848" s="87">
        <f>TEXT(A848,"mmmm")</f>
        <v/>
      </c>
    </row>
    <row r="849">
      <c r="A849" s="60" t="n">
        <v>46176</v>
      </c>
      <c r="B849" s="60" t="n">
        <v>46179</v>
      </c>
      <c r="C849" s="60" t="n">
        <v>46182</v>
      </c>
      <c r="D849" s="87" t="inlineStr">
        <is>
          <t>FELIPE EDUARDO LEITE DA SILVA</t>
        </is>
      </c>
      <c r="E849" s="87" t="inlineStr">
        <is>
          <t>Suhai</t>
        </is>
      </c>
      <c r="F849" s="87" t="inlineStr">
        <is>
          <t>John</t>
        </is>
      </c>
      <c r="G849" s="87" t="inlineStr">
        <is>
          <t>M</t>
        </is>
      </c>
      <c r="H849" s="78" t="n">
        <v>5511957808580</v>
      </c>
      <c r="I849" s="87" t="inlineStr">
        <is>
          <t>Novo</t>
        </is>
      </c>
      <c r="J849" s="87" t="inlineStr">
        <is>
          <t>Assinado</t>
        </is>
      </c>
      <c r="K849" s="60" t="n">
        <v>46185</v>
      </c>
      <c r="L849" s="87">
        <f>TEXT(A849,"mmmm")</f>
        <v/>
      </c>
    </row>
    <row r="850">
      <c r="A850" s="60" t="n">
        <v>46178</v>
      </c>
      <c r="B850" s="60" t="n">
        <v>46181</v>
      </c>
      <c r="C850" s="60" t="n">
        <v>46184</v>
      </c>
      <c r="D850" s="87" t="inlineStr">
        <is>
          <t>EDSON LOPES DE CARVALHO JUNIOR</t>
        </is>
      </c>
      <c r="E850" s="87" t="inlineStr">
        <is>
          <t>Azul</t>
        </is>
      </c>
      <c r="F850" s="87" t="inlineStr">
        <is>
          <t>Jacqueline</t>
        </is>
      </c>
      <c r="G850" s="87" t="inlineStr">
        <is>
          <t>F</t>
        </is>
      </c>
      <c r="H850" s="78" t="n">
        <v>5511949464754</v>
      </c>
      <c r="I850" s="87" t="inlineStr">
        <is>
          <t>Novo</t>
        </is>
      </c>
      <c r="J850" s="87" t="inlineStr">
        <is>
          <t>Assinado</t>
        </is>
      </c>
      <c r="K850" s="60" t="n">
        <v>46187</v>
      </c>
      <c r="L850" s="87">
        <f>TEXT(A850,"mmmm")</f>
        <v/>
      </c>
    </row>
    <row r="851">
      <c r="A851" s="60" t="n">
        <v>46178</v>
      </c>
      <c r="B851" s="60" t="n">
        <v>46181</v>
      </c>
      <c r="C851" s="60" t="n">
        <v>46184</v>
      </c>
      <c r="D851" s="87" t="inlineStr">
        <is>
          <t>PATRICIA AKANE TAKIMOTO</t>
        </is>
      </c>
      <c r="E851" s="87" t="inlineStr">
        <is>
          <t>Tokio</t>
        </is>
      </c>
      <c r="F851" s="87" t="inlineStr">
        <is>
          <t>Flaviane</t>
        </is>
      </c>
      <c r="G851" s="87" t="inlineStr">
        <is>
          <t>F</t>
        </is>
      </c>
      <c r="H851" s="78" t="n">
        <v>5511983346380</v>
      </c>
      <c r="I851" s="87" t="inlineStr">
        <is>
          <t>Novo</t>
        </is>
      </c>
      <c r="J851" s="87" t="inlineStr">
        <is>
          <t>Assinado</t>
        </is>
      </c>
      <c r="K851" s="60" t="n">
        <v>46187</v>
      </c>
      <c r="L851" s="87">
        <f>TEXT(A851,"mmmm")</f>
        <v/>
      </c>
    </row>
    <row r="852">
      <c r="A852" s="60" t="n">
        <v>46178</v>
      </c>
      <c r="B852" s="60" t="n">
        <v>46181</v>
      </c>
      <c r="C852" s="60" t="n">
        <v>46184</v>
      </c>
      <c r="D852" s="87" t="inlineStr">
        <is>
          <t>WAGNER ALEXANDRE DOS SANTOS</t>
        </is>
      </c>
      <c r="E852" s="87" t="inlineStr">
        <is>
          <t>Tokio</t>
        </is>
      </c>
      <c r="F852" s="87" t="inlineStr">
        <is>
          <t>Myrelle</t>
        </is>
      </c>
      <c r="G852" s="87" t="inlineStr">
        <is>
          <t>F</t>
        </is>
      </c>
      <c r="H852" s="78" t="n">
        <v>5511940163907</v>
      </c>
      <c r="I852" s="87" t="inlineStr">
        <is>
          <t>Novo</t>
        </is>
      </c>
      <c r="J852" s="87" t="inlineStr">
        <is>
          <t>Assinado</t>
        </is>
      </c>
      <c r="K852" s="60" t="n">
        <v>46187</v>
      </c>
      <c r="L852" s="87">
        <f>TEXT(A852,"mmmm")</f>
        <v/>
      </c>
    </row>
    <row r="853">
      <c r="A853" s="60" t="n">
        <v>46178</v>
      </c>
      <c r="B853" s="60" t="n">
        <v>46181</v>
      </c>
      <c r="C853" s="60" t="n">
        <v>46184</v>
      </c>
      <c r="D853" s="87" t="inlineStr">
        <is>
          <t>HENRIQUE CHAVES DA SILVA</t>
        </is>
      </c>
      <c r="E853" s="87" t="inlineStr">
        <is>
          <t>Azul</t>
        </is>
      </c>
      <c r="F853" s="87" t="inlineStr">
        <is>
          <t>Isabella</t>
        </is>
      </c>
      <c r="G853" s="87" t="inlineStr">
        <is>
          <t>F</t>
        </is>
      </c>
      <c r="H853" s="78" t="n">
        <v>5511948821308</v>
      </c>
      <c r="I853" s="87" t="inlineStr">
        <is>
          <t>Novo</t>
        </is>
      </c>
      <c r="J853" s="87" t="inlineStr">
        <is>
          <t>Assinado</t>
        </is>
      </c>
      <c r="K853" s="60" t="n">
        <v>46187</v>
      </c>
      <c r="L853" s="87">
        <f>TEXT(A853,"mmmm")</f>
        <v/>
      </c>
    </row>
    <row r="854">
      <c r="A854" s="60" t="n">
        <v>46181</v>
      </c>
      <c r="B854" s="60" t="n">
        <v>46184</v>
      </c>
      <c r="C854" s="60" t="n">
        <v>46187</v>
      </c>
      <c r="D854" s="87" t="inlineStr">
        <is>
          <t>JOSE ANTONIO ALVES</t>
        </is>
      </c>
      <c r="E854" s="87" t="inlineStr">
        <is>
          <t>Tokio</t>
        </is>
      </c>
      <c r="F854" s="87" t="inlineStr">
        <is>
          <t>John</t>
        </is>
      </c>
      <c r="G854" s="87" t="inlineStr">
        <is>
          <t>M</t>
        </is>
      </c>
      <c r="H854" s="75" t="n">
        <v>5511947805691</v>
      </c>
      <c r="I854" s="87" t="inlineStr">
        <is>
          <t>Renovação</t>
        </is>
      </c>
      <c r="J854" s="87" t="inlineStr">
        <is>
          <t>Assinado</t>
        </is>
      </c>
      <c r="K854" s="60" t="n">
        <v>46190</v>
      </c>
      <c r="L854" s="87">
        <f>TEXT(A854,"mmmm")</f>
        <v/>
      </c>
    </row>
    <row r="855">
      <c r="A855" s="60" t="n">
        <v>46178</v>
      </c>
      <c r="B855" s="60" t="n">
        <v>46181</v>
      </c>
      <c r="C855" s="60" t="n">
        <v>46184</v>
      </c>
      <c r="D855" s="87" t="inlineStr">
        <is>
          <t>WILLIAM CARLOS CATULE</t>
        </is>
      </c>
      <c r="E855" s="87" t="inlineStr">
        <is>
          <t>Azul</t>
        </is>
      </c>
      <c r="F855" s="87" t="inlineStr">
        <is>
          <t>John</t>
        </is>
      </c>
      <c r="G855" s="87" t="inlineStr">
        <is>
          <t>M</t>
        </is>
      </c>
      <c r="H855" s="78" t="n">
        <v>5511987120389</v>
      </c>
      <c r="I855" s="87" t="inlineStr">
        <is>
          <t>Novo</t>
        </is>
      </c>
      <c r="J855" s="87" t="inlineStr">
        <is>
          <t>Assinado</t>
        </is>
      </c>
      <c r="K855" s="60" t="n">
        <v>46187</v>
      </c>
      <c r="L855" s="87">
        <f>TEXT(A855,"mmmm")</f>
        <v/>
      </c>
    </row>
    <row r="856">
      <c r="A856" s="60" t="n">
        <v>46181</v>
      </c>
      <c r="B856" s="60" t="n">
        <v>46184</v>
      </c>
      <c r="C856" s="60" t="n">
        <v>46187</v>
      </c>
      <c r="D856" s="87" t="inlineStr">
        <is>
          <t xml:space="preserve">ROBERIO FERREIRA DE ANDRADE </t>
        </is>
      </c>
      <c r="E856" s="87" t="inlineStr">
        <is>
          <t>Tokio</t>
        </is>
      </c>
      <c r="F856" s="87" t="inlineStr">
        <is>
          <t>Jacqueline</t>
        </is>
      </c>
      <c r="G856" s="87" t="inlineStr">
        <is>
          <t>F</t>
        </is>
      </c>
      <c r="H856" s="78" t="n">
        <v>5575999881021</v>
      </c>
      <c r="I856" s="87" t="inlineStr">
        <is>
          <t>Novo</t>
        </is>
      </c>
      <c r="J856" s="87" t="inlineStr">
        <is>
          <t>Assinado</t>
        </is>
      </c>
      <c r="K856" s="60" t="n">
        <v>46190</v>
      </c>
      <c r="L856" s="87">
        <f>TEXT(A856,"mmmm")</f>
        <v/>
      </c>
    </row>
    <row r="857">
      <c r="A857" s="60" t="n">
        <v>46181</v>
      </c>
      <c r="B857" s="60" t="n">
        <v>46184</v>
      </c>
      <c r="C857" s="60" t="n">
        <v>46187</v>
      </c>
      <c r="D857" s="87" t="inlineStr">
        <is>
          <t>VALDEMIR RODRIGUES BISPO</t>
        </is>
      </c>
      <c r="E857" s="87" t="inlineStr">
        <is>
          <t>Azul</t>
        </is>
      </c>
      <c r="F857" s="87" t="inlineStr">
        <is>
          <t>Jacqueline</t>
        </is>
      </c>
      <c r="G857" s="87" t="inlineStr">
        <is>
          <t>F</t>
        </is>
      </c>
      <c r="H857" s="78" t="n">
        <v>5518981291342</v>
      </c>
      <c r="I857" s="87" t="inlineStr">
        <is>
          <t>Novo</t>
        </is>
      </c>
      <c r="J857" s="87" t="inlineStr">
        <is>
          <t>Assinado</t>
        </is>
      </c>
      <c r="K857" s="60" t="n">
        <v>46190</v>
      </c>
      <c r="L857" s="87">
        <f>TEXT(A857,"mmmm")</f>
        <v/>
      </c>
    </row>
    <row r="858">
      <c r="A858" s="60" t="n">
        <v>46181</v>
      </c>
      <c r="B858" s="60" t="n">
        <v>46184</v>
      </c>
      <c r="C858" s="60" t="n">
        <v>46187</v>
      </c>
      <c r="D858" s="87" t="inlineStr">
        <is>
          <t>SIDNEY AMARAL</t>
        </is>
      </c>
      <c r="E858" s="87" t="inlineStr">
        <is>
          <t>Azul</t>
        </is>
      </c>
      <c r="F858" s="87" t="inlineStr">
        <is>
          <t>Jacqueline</t>
        </is>
      </c>
      <c r="G858" s="87" t="inlineStr">
        <is>
          <t>F</t>
        </is>
      </c>
      <c r="H858" s="78" t="n">
        <v>5531982363009</v>
      </c>
      <c r="I858" s="87" t="inlineStr">
        <is>
          <t>Novo</t>
        </is>
      </c>
      <c r="J858" s="87" t="inlineStr">
        <is>
          <t>Assinado</t>
        </is>
      </c>
      <c r="K858" s="60" t="n">
        <v>46190</v>
      </c>
      <c r="L858" s="87">
        <f>TEXT(A858,"mmmm")</f>
        <v/>
      </c>
    </row>
    <row r="859">
      <c r="A859" s="60" t="n">
        <v>46181</v>
      </c>
      <c r="B859" s="60" t="n">
        <v>46184</v>
      </c>
      <c r="C859" s="60" t="n">
        <v>46187</v>
      </c>
      <c r="D859" s="87" t="inlineStr">
        <is>
          <t>JOSE ONIAS SOUZA DE OLIVEIRA</t>
        </is>
      </c>
      <c r="E859" s="87" t="inlineStr">
        <is>
          <t>Azul</t>
        </is>
      </c>
      <c r="F859" s="87" t="inlineStr">
        <is>
          <t>Jacqueline</t>
        </is>
      </c>
      <c r="G859" s="87" t="inlineStr">
        <is>
          <t>F</t>
        </is>
      </c>
      <c r="H859" s="78" t="n">
        <v>5521993194454</v>
      </c>
      <c r="I859" s="87" t="inlineStr">
        <is>
          <t>Novo</t>
        </is>
      </c>
      <c r="J859" s="87" t="inlineStr">
        <is>
          <t>Assinado</t>
        </is>
      </c>
      <c r="K859" s="60" t="n">
        <v>46190</v>
      </c>
      <c r="L859" s="87">
        <f>TEXT(A859,"mmmm")</f>
        <v/>
      </c>
    </row>
    <row r="860">
      <c r="A860" s="60" t="n">
        <v>46181</v>
      </c>
      <c r="B860" s="60" t="n">
        <v>46184</v>
      </c>
      <c r="C860" s="60" t="n">
        <v>46187</v>
      </c>
      <c r="D860" s="87" t="inlineStr">
        <is>
          <t>JULIO CESAR BOSSO SIANO</t>
        </is>
      </c>
      <c r="E860" s="87" t="inlineStr">
        <is>
          <t>Azul</t>
        </is>
      </c>
      <c r="F860" s="87" t="inlineStr">
        <is>
          <t>Leticia</t>
        </is>
      </c>
      <c r="G860" s="87" t="inlineStr">
        <is>
          <t>F</t>
        </is>
      </c>
      <c r="H860" s="78" t="n">
        <v>5511984449906</v>
      </c>
      <c r="I860" s="87" t="inlineStr">
        <is>
          <t>Novo</t>
        </is>
      </c>
      <c r="J860" s="87" t="inlineStr">
        <is>
          <t>Na planilha</t>
        </is>
      </c>
      <c r="K860" s="60" t="n">
        <v>46190</v>
      </c>
      <c r="L860" s="87">
        <f>TEXT(A860,"mmmm")</f>
        <v/>
      </c>
    </row>
    <row r="861">
      <c r="A861" s="60" t="n">
        <v>46181</v>
      </c>
      <c r="B861" s="60" t="n">
        <v>46184</v>
      </c>
      <c r="C861" s="60" t="n">
        <v>46187</v>
      </c>
      <c r="D861" s="87" t="inlineStr">
        <is>
          <t>ERIVALDO PERGENTINO ALVES</t>
        </is>
      </c>
      <c r="E861" s="87" t="inlineStr">
        <is>
          <t>Suhai</t>
        </is>
      </c>
      <c r="F861" s="87" t="inlineStr">
        <is>
          <t>Leticia</t>
        </is>
      </c>
      <c r="G861" s="87" t="inlineStr">
        <is>
          <t>F</t>
        </is>
      </c>
      <c r="H861" s="78" t="n">
        <v>5511997367623</v>
      </c>
      <c r="I861" s="87" t="inlineStr">
        <is>
          <t>Novo</t>
        </is>
      </c>
      <c r="J861" s="87" t="inlineStr">
        <is>
          <t>Assinado</t>
        </is>
      </c>
      <c r="K861" s="60" t="n">
        <v>46190</v>
      </c>
      <c r="L861" s="87">
        <f>TEXT(A861,"mmmm")</f>
        <v/>
      </c>
    </row>
    <row r="862">
      <c r="A862" s="60" t="n">
        <v>46181</v>
      </c>
      <c r="B862" s="60" t="n">
        <v>46184</v>
      </c>
      <c r="C862" s="60" t="n">
        <v>46187</v>
      </c>
      <c r="D862" s="87" t="inlineStr">
        <is>
          <t>FLAVIO GHETTI RIBEIRO</t>
        </is>
      </c>
      <c r="E862" s="87" t="inlineStr">
        <is>
          <t>Azul</t>
        </is>
      </c>
      <c r="F862" s="87" t="inlineStr">
        <is>
          <t>John</t>
        </is>
      </c>
      <c r="G862" s="87" t="inlineStr">
        <is>
          <t>M</t>
        </is>
      </c>
      <c r="H862" s="78" t="n">
        <v>5511963637062</v>
      </c>
      <c r="I862" s="87" t="inlineStr">
        <is>
          <t>Novo</t>
        </is>
      </c>
      <c r="J862" s="87" t="inlineStr">
        <is>
          <t>Assinado</t>
        </is>
      </c>
      <c r="K862" s="60" t="n">
        <v>46190</v>
      </c>
      <c r="L862" s="87">
        <f>TEXT(A862,"mmmm")</f>
        <v/>
      </c>
    </row>
    <row r="863">
      <c r="A863" s="60" t="n">
        <v>46181</v>
      </c>
      <c r="B863" s="60" t="n">
        <v>46184</v>
      </c>
      <c r="C863" s="60" t="n">
        <v>46187</v>
      </c>
      <c r="D863" s="87" t="inlineStr">
        <is>
          <t>ERIK HENRIQUE FIRME GOLLO</t>
        </is>
      </c>
      <c r="E863" s="87" t="inlineStr">
        <is>
          <t>Suhai</t>
        </is>
      </c>
      <c r="F863" s="87" t="inlineStr">
        <is>
          <t>Leticia</t>
        </is>
      </c>
      <c r="G863" s="87" t="inlineStr">
        <is>
          <t>F</t>
        </is>
      </c>
      <c r="H863" s="78" t="n">
        <v>5511983147982</v>
      </c>
      <c r="I863" s="87" t="inlineStr">
        <is>
          <t>Novo</t>
        </is>
      </c>
      <c r="J863" s="87" t="inlineStr">
        <is>
          <t>Assinado</t>
        </is>
      </c>
      <c r="K863" s="60" t="n">
        <v>46190</v>
      </c>
      <c r="L863" s="87">
        <f>TEXT(A863,"mmmm")</f>
        <v/>
      </c>
    </row>
    <row r="864">
      <c r="A864" s="60" t="n">
        <v>46181</v>
      </c>
      <c r="B864" s="60" t="n">
        <v>46184</v>
      </c>
      <c r="C864" s="60" t="n">
        <v>46187</v>
      </c>
      <c r="D864" s="87" t="inlineStr">
        <is>
          <t>MARISA GOMES DE MORAIS</t>
        </is>
      </c>
      <c r="E864" s="87" t="inlineStr">
        <is>
          <t>Azul</t>
        </is>
      </c>
      <c r="F864" s="87" t="inlineStr">
        <is>
          <t>Isabella</t>
        </is>
      </c>
      <c r="G864" s="87" t="inlineStr">
        <is>
          <t>F</t>
        </is>
      </c>
      <c r="H864" s="78" t="n">
        <v>5511999499749</v>
      </c>
      <c r="I864" s="87" t="inlineStr">
        <is>
          <t>Novo</t>
        </is>
      </c>
      <c r="J864" s="87" t="inlineStr">
        <is>
          <t>Assinado</t>
        </is>
      </c>
      <c r="K864" s="60" t="n">
        <v>46190</v>
      </c>
      <c r="L864" s="87">
        <f>TEXT(A864,"mmmm")</f>
        <v/>
      </c>
    </row>
    <row r="865">
      <c r="A865" s="60" t="n">
        <v>46181</v>
      </c>
      <c r="B865" s="60" t="n">
        <v>46184</v>
      </c>
      <c r="C865" s="60" t="n">
        <v>46187</v>
      </c>
      <c r="D865" s="87" t="inlineStr">
        <is>
          <t>DANIEL FRANCELINO DA SILVA</t>
        </is>
      </c>
      <c r="E865" s="87" t="inlineStr">
        <is>
          <t>Mapfre</t>
        </is>
      </c>
      <c r="F865" s="87" t="inlineStr">
        <is>
          <t>John</t>
        </is>
      </c>
      <c r="G865" s="87" t="inlineStr">
        <is>
          <t>M</t>
        </is>
      </c>
      <c r="H865" s="78" t="n">
        <v>5581985781224</v>
      </c>
      <c r="I865" s="87" t="inlineStr">
        <is>
          <t>Novo</t>
        </is>
      </c>
      <c r="J865" s="87" t="inlineStr">
        <is>
          <t>Assinado</t>
        </is>
      </c>
      <c r="K865" s="60" t="n">
        <v>46190</v>
      </c>
      <c r="L865" s="87">
        <f>TEXT(A865,"mmmm")</f>
        <v/>
      </c>
    </row>
    <row r="866">
      <c r="A866" s="60" t="n">
        <v>46181</v>
      </c>
      <c r="B866" s="60" t="n">
        <v>46184</v>
      </c>
      <c r="C866" s="60" t="n">
        <v>46187</v>
      </c>
      <c r="D866" s="87" t="inlineStr">
        <is>
          <t>BENEDITO JACINTHO</t>
        </is>
      </c>
      <c r="E866" s="87" t="inlineStr">
        <is>
          <t>Suhai</t>
        </is>
      </c>
      <c r="F866" s="87" t="inlineStr">
        <is>
          <t>John</t>
        </is>
      </c>
      <c r="G866" s="87" t="inlineStr">
        <is>
          <t>M</t>
        </is>
      </c>
      <c r="H866" s="78" t="n">
        <v>5511959940533</v>
      </c>
      <c r="I866" s="87" t="inlineStr">
        <is>
          <t>Novo</t>
        </is>
      </c>
      <c r="J866" s="87" t="inlineStr">
        <is>
          <t>Assinado</t>
        </is>
      </c>
      <c r="K866" s="60" t="n">
        <v>46190</v>
      </c>
      <c r="L866" s="87">
        <f>TEXT(A866,"mmmm")</f>
        <v/>
      </c>
    </row>
    <row r="867">
      <c r="A867" s="60" t="n">
        <v>46182</v>
      </c>
      <c r="B867" s="60" t="n">
        <v>46185</v>
      </c>
      <c r="C867" s="60" t="n">
        <v>46188</v>
      </c>
      <c r="D867" s="87" t="inlineStr">
        <is>
          <t>RENATO DE SANTANA COSTA</t>
        </is>
      </c>
      <c r="E867" s="87" t="inlineStr">
        <is>
          <t>Suhai</t>
        </is>
      </c>
      <c r="F867" s="87" t="inlineStr">
        <is>
          <t>John</t>
        </is>
      </c>
      <c r="G867" s="87" t="inlineStr">
        <is>
          <t>M</t>
        </is>
      </c>
      <c r="H867" s="78" t="n">
        <v>5511979631628</v>
      </c>
      <c r="I867" s="87" t="inlineStr">
        <is>
          <t>Novo</t>
        </is>
      </c>
      <c r="J867" s="87" t="inlineStr">
        <is>
          <t>Na planilha</t>
        </is>
      </c>
      <c r="K867" s="60" t="n">
        <v>46191</v>
      </c>
      <c r="L867" s="87">
        <f>TEXT(A867,"mmmm")</f>
        <v/>
      </c>
    </row>
    <row r="868">
      <c r="A868" s="60" t="n">
        <v>46182</v>
      </c>
      <c r="B868" s="60" t="n">
        <v>46185</v>
      </c>
      <c r="C868" s="60" t="n">
        <v>46188</v>
      </c>
      <c r="D868" s="87" t="inlineStr">
        <is>
          <t>CARLOS ALBERTO DOS SANTOS</t>
        </is>
      </c>
      <c r="E868" s="87" t="inlineStr">
        <is>
          <t>Azul</t>
        </is>
      </c>
      <c r="F868" s="87" t="inlineStr">
        <is>
          <t>John</t>
        </is>
      </c>
      <c r="G868" s="87" t="inlineStr">
        <is>
          <t>M</t>
        </is>
      </c>
      <c r="H868" s="78" t="n">
        <v>5511972259203</v>
      </c>
      <c r="I868" s="87" t="inlineStr">
        <is>
          <t>Renovação</t>
        </is>
      </c>
      <c r="J868" s="87" t="inlineStr">
        <is>
          <t>Erro</t>
        </is>
      </c>
      <c r="K868" s="60" t="n">
        <v>46191</v>
      </c>
      <c r="L868" s="87">
        <f>TEXT(A868,"mmmm")</f>
        <v/>
      </c>
    </row>
    <row r="869">
      <c r="A869" s="60" t="n">
        <v>46182</v>
      </c>
      <c r="B869" s="60" t="n">
        <v>46185</v>
      </c>
      <c r="C869" s="60" t="n">
        <v>46188</v>
      </c>
      <c r="D869" s="87" t="inlineStr">
        <is>
          <t>JOEL FRANCISCO GIOVANELLI GARCIA MARTINS</t>
        </is>
      </c>
      <c r="E869" s="87" t="inlineStr">
        <is>
          <t>Azul</t>
        </is>
      </c>
      <c r="F869" s="87" t="inlineStr">
        <is>
          <t>John</t>
        </is>
      </c>
      <c r="G869" s="87" t="inlineStr">
        <is>
          <t>M</t>
        </is>
      </c>
      <c r="H869" s="78" t="n">
        <v>5512991169572</v>
      </c>
      <c r="I869" s="87" t="inlineStr">
        <is>
          <t>Renovação</t>
        </is>
      </c>
      <c r="J869" s="87" t="inlineStr">
        <is>
          <t>Assinado</t>
        </is>
      </c>
      <c r="K869" s="60" t="n">
        <v>46191</v>
      </c>
      <c r="L869" s="87">
        <f>TEXT(A869,"mmmm")</f>
        <v/>
      </c>
    </row>
    <row r="870">
      <c r="A870" s="60" t="n">
        <v>46182</v>
      </c>
      <c r="B870" s="60" t="n">
        <v>46185</v>
      </c>
      <c r="C870" s="60" t="n">
        <v>46188</v>
      </c>
      <c r="D870" s="87" t="inlineStr">
        <is>
          <t>AGNALDO MARINHO DA SILVA NETO</t>
        </is>
      </c>
      <c r="E870" s="87" t="inlineStr">
        <is>
          <t>Porto</t>
        </is>
      </c>
      <c r="F870" s="87" t="inlineStr">
        <is>
          <t>John</t>
        </is>
      </c>
      <c r="G870" s="87" t="inlineStr">
        <is>
          <t>M</t>
        </is>
      </c>
      <c r="H870" s="78" t="n">
        <v>5571981502073</v>
      </c>
      <c r="I870" s="87" t="inlineStr">
        <is>
          <t>Renovação</t>
        </is>
      </c>
      <c r="J870" s="87" t="inlineStr">
        <is>
          <t>Assinado</t>
        </is>
      </c>
      <c r="K870" s="60" t="n">
        <v>46191</v>
      </c>
      <c r="L870" s="87">
        <f>TEXT(A870,"mmmm")</f>
        <v/>
      </c>
    </row>
    <row r="871">
      <c r="A871" s="60" t="n">
        <v>46182</v>
      </c>
      <c r="B871" s="60" t="n">
        <v>46185</v>
      </c>
      <c r="C871" s="60" t="n">
        <v>46188</v>
      </c>
      <c r="D871" s="87" t="inlineStr">
        <is>
          <t>JAILSON RAMOS DE DEUS</t>
        </is>
      </c>
      <c r="E871" s="87" t="inlineStr">
        <is>
          <t>Suhai</t>
        </is>
      </c>
      <c r="F871" s="87" t="inlineStr">
        <is>
          <t>John</t>
        </is>
      </c>
      <c r="G871" s="87" t="inlineStr">
        <is>
          <t>M</t>
        </is>
      </c>
      <c r="H871" s="78" t="n">
        <v>5511940137253</v>
      </c>
      <c r="I871" s="87" t="inlineStr">
        <is>
          <t>Novo</t>
        </is>
      </c>
      <c r="J871" s="87" t="inlineStr">
        <is>
          <t>Assinado</t>
        </is>
      </c>
      <c r="K871" s="60" t="n">
        <v>46191</v>
      </c>
      <c r="L871" s="87">
        <f>TEXT(A871,"mmmm")</f>
        <v/>
      </c>
    </row>
    <row r="872">
      <c r="A872" s="60" t="n">
        <v>46182</v>
      </c>
      <c r="B872" s="60" t="n">
        <v>46185</v>
      </c>
      <c r="C872" s="60" t="n">
        <v>46188</v>
      </c>
      <c r="D872" s="87" t="inlineStr">
        <is>
          <t>THALITA MESQUIARI DOS SANTOS</t>
        </is>
      </c>
      <c r="E872" s="87" t="inlineStr">
        <is>
          <t>Tokio</t>
        </is>
      </c>
      <c r="F872" s="87" t="inlineStr">
        <is>
          <t>John</t>
        </is>
      </c>
      <c r="G872" s="87" t="inlineStr">
        <is>
          <t>M</t>
        </is>
      </c>
      <c r="H872" s="78" t="n">
        <v>5511946752455</v>
      </c>
      <c r="I872" s="87" t="inlineStr">
        <is>
          <t>Renovação</t>
        </is>
      </c>
      <c r="J872" s="87" t="inlineStr">
        <is>
          <t>Erro</t>
        </is>
      </c>
      <c r="K872" s="60" t="n">
        <v>46191</v>
      </c>
      <c r="L872" s="87">
        <f>TEXT(A872,"mmmm")</f>
        <v/>
      </c>
    </row>
    <row r="873">
      <c r="A873" s="60" t="n">
        <v>46182</v>
      </c>
      <c r="B873" s="60" t="n">
        <v>46185</v>
      </c>
      <c r="C873" s="60" t="n">
        <v>46188</v>
      </c>
      <c r="D873" s="87" t="inlineStr">
        <is>
          <t>PAULO DE OLIVEIRA</t>
        </is>
      </c>
      <c r="E873" s="87" t="inlineStr">
        <is>
          <t>Suhai</t>
        </is>
      </c>
      <c r="F873" s="87" t="inlineStr">
        <is>
          <t>John</t>
        </is>
      </c>
      <c r="G873" s="87" t="inlineStr">
        <is>
          <t>M</t>
        </is>
      </c>
      <c r="H873" s="78" t="n">
        <v>5514997113256</v>
      </c>
      <c r="I873" s="87" t="inlineStr">
        <is>
          <t>Renovação</t>
        </is>
      </c>
      <c r="J873" s="87" t="inlineStr">
        <is>
          <t>Assinado(manual)</t>
        </is>
      </c>
      <c r="K873" s="60" t="n">
        <v>46191</v>
      </c>
      <c r="L873" s="87">
        <f>TEXT(A873,"mmmm")</f>
        <v/>
      </c>
    </row>
    <row r="874">
      <c r="A874" s="60" t="n">
        <v>46182</v>
      </c>
      <c r="B874" s="60" t="n">
        <v>46185</v>
      </c>
      <c r="C874" s="60" t="n">
        <v>46188</v>
      </c>
      <c r="D874" s="87" t="inlineStr">
        <is>
          <t>LUCIMAR ANTONIA ROSA</t>
        </is>
      </c>
      <c r="E874" s="87" t="inlineStr">
        <is>
          <t>Allianz</t>
        </is>
      </c>
      <c r="F874" s="87" t="inlineStr">
        <is>
          <t>John</t>
        </is>
      </c>
      <c r="G874" s="87" t="inlineStr">
        <is>
          <t>M</t>
        </is>
      </c>
      <c r="H874" s="78" t="n">
        <v>5511987171007</v>
      </c>
      <c r="I874" s="87" t="inlineStr">
        <is>
          <t>Renovação</t>
        </is>
      </c>
      <c r="J874" s="87" t="inlineStr">
        <is>
          <t>Na planilha</t>
        </is>
      </c>
      <c r="K874" s="60" t="n">
        <v>46191</v>
      </c>
      <c r="L874" s="87">
        <f>TEXT(A874,"mmmm")</f>
        <v/>
      </c>
    </row>
    <row r="875">
      <c r="A875" s="60" t="n">
        <v>46182</v>
      </c>
      <c r="B875" s="60" t="n">
        <v>46185</v>
      </c>
      <c r="C875" s="60" t="n">
        <v>46188</v>
      </c>
      <c r="D875" s="87" t="inlineStr">
        <is>
          <t>MATHEUS REIS SANTANA</t>
        </is>
      </c>
      <c r="E875" s="87" t="inlineStr">
        <is>
          <t>Tokio</t>
        </is>
      </c>
      <c r="F875" s="87" t="inlineStr">
        <is>
          <t>John</t>
        </is>
      </c>
      <c r="G875" s="87" t="inlineStr">
        <is>
          <t>M</t>
        </is>
      </c>
      <c r="H875" s="78" t="n">
        <v>5511930044446</v>
      </c>
      <c r="I875" s="87" t="inlineStr">
        <is>
          <t>Renovação</t>
        </is>
      </c>
      <c r="J875" s="87" t="inlineStr">
        <is>
          <t>Na planilha</t>
        </is>
      </c>
      <c r="K875" s="60" t="n">
        <v>46191</v>
      </c>
      <c r="L875" s="87">
        <f>TEXT(A875,"mmmm")</f>
        <v/>
      </c>
    </row>
    <row r="876">
      <c r="A876" s="60" t="n">
        <v>46182</v>
      </c>
      <c r="B876" s="60" t="n">
        <v>46185</v>
      </c>
      <c r="C876" s="60" t="n">
        <v>46188</v>
      </c>
      <c r="D876" s="87" t="inlineStr">
        <is>
          <t>MARCOS VINICIUS AFONSO CABRAL</t>
        </is>
      </c>
      <c r="E876" s="87" t="inlineStr">
        <is>
          <t>Mapfre</t>
        </is>
      </c>
      <c r="F876" s="87" t="inlineStr">
        <is>
          <t>Isabella</t>
        </is>
      </c>
      <c r="G876" s="87" t="inlineStr">
        <is>
          <t>F</t>
        </is>
      </c>
      <c r="H876" s="78" t="n">
        <v>5591993789064</v>
      </c>
      <c r="I876" s="87" t="inlineStr">
        <is>
          <t>Novo</t>
        </is>
      </c>
      <c r="J876" s="87" t="inlineStr">
        <is>
          <t>Assinado</t>
        </is>
      </c>
      <c r="K876" s="60" t="n">
        <v>46191</v>
      </c>
      <c r="L876" s="87">
        <f>TEXT(A876,"mmmm")</f>
        <v/>
      </c>
    </row>
    <row r="877">
      <c r="A877" s="60" t="n">
        <v>46182</v>
      </c>
      <c r="B877" s="60" t="n">
        <v>46185</v>
      </c>
      <c r="C877" s="60" t="n">
        <v>46188</v>
      </c>
      <c r="D877" s="87" t="inlineStr">
        <is>
          <t>ANDERSON CLEITON ANDRADE DA SILVA</t>
        </is>
      </c>
      <c r="E877" s="87" t="inlineStr">
        <is>
          <t>Suhai</t>
        </is>
      </c>
      <c r="F877" s="87" t="inlineStr">
        <is>
          <t>Isabella</t>
        </is>
      </c>
      <c r="G877" s="87" t="inlineStr">
        <is>
          <t>F</t>
        </is>
      </c>
      <c r="H877" s="78" t="n">
        <v>5511963465506</v>
      </c>
      <c r="I877" s="87" t="inlineStr">
        <is>
          <t>Novo</t>
        </is>
      </c>
      <c r="J877" s="87" t="inlineStr">
        <is>
          <t>Assinado</t>
        </is>
      </c>
      <c r="K877" s="60" t="n">
        <v>46191</v>
      </c>
      <c r="L877" s="87">
        <f>TEXT(A877,"mmmm")</f>
        <v/>
      </c>
    </row>
    <row r="878">
      <c r="A878" s="60" t="n">
        <v>46182</v>
      </c>
      <c r="B878" s="60" t="n">
        <v>46185</v>
      </c>
      <c r="C878" s="60" t="n">
        <v>46188</v>
      </c>
      <c r="D878" s="87" t="inlineStr">
        <is>
          <t>ROBSON MARINHO MODESTO LIMA</t>
        </is>
      </c>
      <c r="E878" s="87" t="inlineStr">
        <is>
          <t>Azul</t>
        </is>
      </c>
      <c r="F878" s="87" t="inlineStr">
        <is>
          <t>Isabella</t>
        </is>
      </c>
      <c r="G878" s="87" t="inlineStr">
        <is>
          <t>F</t>
        </is>
      </c>
      <c r="H878" s="78" t="n">
        <v>5512991512644</v>
      </c>
      <c r="I878" s="87" t="inlineStr">
        <is>
          <t>Novo</t>
        </is>
      </c>
      <c r="J878" s="87" t="inlineStr">
        <is>
          <t>Assinado</t>
        </is>
      </c>
      <c r="K878" s="60" t="n">
        <v>46191</v>
      </c>
      <c r="L878" s="87">
        <f>TEXT(A878,"mmmm")</f>
        <v/>
      </c>
    </row>
    <row r="879">
      <c r="A879" s="60" t="n">
        <v>46182</v>
      </c>
      <c r="B879" s="60" t="n">
        <v>46185</v>
      </c>
      <c r="C879" s="60" t="n">
        <v>46188</v>
      </c>
      <c r="D879" s="87" t="inlineStr">
        <is>
          <t>SIMONE MATEUS ANACLETO</t>
        </is>
      </c>
      <c r="E879" s="87" t="inlineStr">
        <is>
          <t>Azul</t>
        </is>
      </c>
      <c r="F879" s="87" t="inlineStr">
        <is>
          <t>Isabella</t>
        </is>
      </c>
      <c r="G879" s="87" t="inlineStr">
        <is>
          <t>F</t>
        </is>
      </c>
      <c r="H879" s="78" t="n">
        <v>5511987127971</v>
      </c>
      <c r="I879" s="87" t="inlineStr">
        <is>
          <t>Novo</t>
        </is>
      </c>
      <c r="J879" s="87" t="inlineStr">
        <is>
          <t>Assinado</t>
        </is>
      </c>
      <c r="K879" s="60" t="n">
        <v>46191</v>
      </c>
      <c r="L879" s="87">
        <f>TEXT(A879,"mmmm")</f>
        <v/>
      </c>
    </row>
    <row r="880">
      <c r="A880" s="60" t="n">
        <v>46182</v>
      </c>
      <c r="B880" s="60" t="n">
        <v>46185</v>
      </c>
      <c r="C880" s="60" t="n">
        <v>46188</v>
      </c>
      <c r="D880" s="87" t="inlineStr">
        <is>
          <t>ALAERCIO TEIXEIRA DOS SANTOS</t>
        </is>
      </c>
      <c r="E880" s="87" t="inlineStr">
        <is>
          <t>Suhai</t>
        </is>
      </c>
      <c r="F880" s="87" t="inlineStr">
        <is>
          <t>Jacqueline</t>
        </is>
      </c>
      <c r="G880" s="87" t="inlineStr">
        <is>
          <t>F</t>
        </is>
      </c>
      <c r="H880" s="78" t="n">
        <v>5515996990111</v>
      </c>
      <c r="I880" s="87" t="inlineStr">
        <is>
          <t>Novo</t>
        </is>
      </c>
      <c r="J880" s="87" t="inlineStr">
        <is>
          <t>Assinado</t>
        </is>
      </c>
      <c r="K880" s="60" t="n">
        <v>46191</v>
      </c>
      <c r="L880" s="87">
        <f>TEXT(A880,"mmmm")</f>
        <v/>
      </c>
    </row>
    <row r="881">
      <c r="A881" s="60" t="n">
        <v>46182</v>
      </c>
      <c r="B881" s="60" t="n">
        <v>46185</v>
      </c>
      <c r="C881" s="60" t="n">
        <v>46188</v>
      </c>
      <c r="D881" s="87" t="inlineStr">
        <is>
          <t>ROSIANI APARECIDA RIBEIRO DE AGUIAR</t>
        </is>
      </c>
      <c r="E881" s="87" t="inlineStr">
        <is>
          <t>Azul</t>
        </is>
      </c>
      <c r="F881" s="87" t="inlineStr">
        <is>
          <t>Leticia</t>
        </is>
      </c>
      <c r="G881" s="87" t="inlineStr">
        <is>
          <t>F</t>
        </is>
      </c>
      <c r="H881" s="78" t="n">
        <v>5512997440674</v>
      </c>
      <c r="I881" s="87" t="inlineStr">
        <is>
          <t>Novo</t>
        </is>
      </c>
      <c r="J881" s="87" t="inlineStr">
        <is>
          <t>Assinado</t>
        </is>
      </c>
      <c r="K881" s="60" t="n">
        <v>46191</v>
      </c>
      <c r="L881" s="87">
        <f>TEXT(A881,"mmmm")</f>
        <v/>
      </c>
    </row>
    <row r="882">
      <c r="A882" s="60" t="n">
        <v>46182</v>
      </c>
      <c r="B882" s="60" t="n">
        <v>46185</v>
      </c>
      <c r="C882" s="60" t="n">
        <v>46188</v>
      </c>
      <c r="D882" s="87" t="inlineStr">
        <is>
          <t>UELLINGTON MACEDO RAMOS</t>
        </is>
      </c>
      <c r="E882" s="87" t="inlineStr">
        <is>
          <t>Suhai</t>
        </is>
      </c>
      <c r="F882" s="87" t="inlineStr">
        <is>
          <t>Leticia</t>
        </is>
      </c>
      <c r="G882" s="87" t="inlineStr">
        <is>
          <t>F</t>
        </is>
      </c>
      <c r="H882" s="78" t="n">
        <v>5511977234853</v>
      </c>
      <c r="I882" s="87" t="inlineStr">
        <is>
          <t>Novo</t>
        </is>
      </c>
      <c r="J882" s="87" t="inlineStr">
        <is>
          <t>Na planilha</t>
        </is>
      </c>
      <c r="K882" s="60" t="n">
        <v>46191</v>
      </c>
      <c r="L882" s="87">
        <f>TEXT(A882,"mmmm")</f>
        <v/>
      </c>
    </row>
    <row r="883">
      <c r="A883" s="60" t="n">
        <v>46182</v>
      </c>
      <c r="B883" s="60" t="n">
        <v>46185</v>
      </c>
      <c r="C883" s="60" t="n">
        <v>46188</v>
      </c>
      <c r="D883" s="87" t="inlineStr">
        <is>
          <t>ANTONIO CESAR DA CUNHA BARROS</t>
        </is>
      </c>
      <c r="E883" s="87" t="inlineStr">
        <is>
          <t>Suhai</t>
        </is>
      </c>
      <c r="F883" s="87" t="inlineStr">
        <is>
          <t>Jéssica</t>
        </is>
      </c>
      <c r="G883" s="87" t="inlineStr">
        <is>
          <t>F</t>
        </is>
      </c>
      <c r="H883" s="78" t="n">
        <v>5511954588347</v>
      </c>
      <c r="I883" s="87" t="inlineStr">
        <is>
          <t>Novo</t>
        </is>
      </c>
      <c r="J883" s="87" t="inlineStr">
        <is>
          <t>Assinado(manual)</t>
        </is>
      </c>
      <c r="K883" s="60" t="n">
        <v>46191</v>
      </c>
      <c r="L883" s="87">
        <f>TEXT(A883,"mmmm")</f>
        <v/>
      </c>
    </row>
    <row r="884">
      <c r="A884" s="60" t="n">
        <v>46182</v>
      </c>
      <c r="B884" s="60" t="n">
        <v>46185</v>
      </c>
      <c r="C884" s="60" t="n">
        <v>46188</v>
      </c>
      <c r="D884" s="87" t="inlineStr">
        <is>
          <t>NATAEL MINUCCI GONCALVES</t>
        </is>
      </c>
      <c r="E884" s="87" t="inlineStr">
        <is>
          <t>Tokio</t>
        </is>
      </c>
      <c r="F884" s="87" t="inlineStr">
        <is>
          <t>Myrelle</t>
        </is>
      </c>
      <c r="G884" s="87" t="inlineStr">
        <is>
          <t>F</t>
        </is>
      </c>
      <c r="H884" s="78" t="n">
        <v>5511989652455</v>
      </c>
      <c r="I884" s="87" t="inlineStr">
        <is>
          <t>Novo</t>
        </is>
      </c>
      <c r="J884" s="87" t="inlineStr">
        <is>
          <t>Assinado</t>
        </is>
      </c>
      <c r="K884" s="60" t="n">
        <v>46191</v>
      </c>
      <c r="L884" s="87">
        <f>TEXT(A884,"mmmm")</f>
        <v/>
      </c>
    </row>
    <row r="885">
      <c r="A885" s="60" t="n">
        <v>46182</v>
      </c>
      <c r="B885" s="60" t="n">
        <v>46185</v>
      </c>
      <c r="C885" s="60" t="n">
        <v>46188</v>
      </c>
      <c r="D885" s="87" t="inlineStr">
        <is>
          <t>BERNONDES COSTA DA CRUZ</t>
        </is>
      </c>
      <c r="E885" s="87" t="inlineStr">
        <is>
          <t>Azul</t>
        </is>
      </c>
      <c r="F885" s="87" t="inlineStr">
        <is>
          <t>Myrelle</t>
        </is>
      </c>
      <c r="G885" s="87" t="inlineStr">
        <is>
          <t>F</t>
        </is>
      </c>
      <c r="H885" s="78" t="n">
        <v>5564992446264</v>
      </c>
      <c r="I885" s="87" t="inlineStr">
        <is>
          <t>Novo</t>
        </is>
      </c>
      <c r="J885" s="87" t="inlineStr">
        <is>
          <t>Assinado</t>
        </is>
      </c>
      <c r="K885" s="60" t="n">
        <v>46191</v>
      </c>
      <c r="L885" s="87">
        <f>TEXT(A885,"mmmm")</f>
        <v/>
      </c>
    </row>
    <row r="886">
      <c r="A886" s="60" t="n">
        <v>46182</v>
      </c>
      <c r="B886" s="60" t="n">
        <v>46185</v>
      </c>
      <c r="C886" s="60" t="n">
        <v>46188</v>
      </c>
      <c r="D886" s="87" t="inlineStr">
        <is>
          <t>PAMELA CRISTINA INACIO</t>
        </is>
      </c>
      <c r="E886" s="87" t="inlineStr">
        <is>
          <t>Tokio</t>
        </is>
      </c>
      <c r="F886" s="87" t="inlineStr">
        <is>
          <t>John</t>
        </is>
      </c>
      <c r="G886" s="87" t="inlineStr">
        <is>
          <t>M</t>
        </is>
      </c>
      <c r="H886" s="78" t="n">
        <v>5511983557357</v>
      </c>
      <c r="I886" s="87" t="inlineStr">
        <is>
          <t>Renovação</t>
        </is>
      </c>
      <c r="J886" s="87" t="inlineStr">
        <is>
          <t>Assinado</t>
        </is>
      </c>
      <c r="K886" s="60" t="n">
        <v>46191</v>
      </c>
      <c r="L886" s="87">
        <f>TEXT(A886,"mmmm")</f>
        <v/>
      </c>
    </row>
    <row r="887">
      <c r="A887" s="60" t="n">
        <v>46182</v>
      </c>
      <c r="B887" s="60" t="n">
        <v>46185</v>
      </c>
      <c r="C887" s="60" t="n">
        <v>46188</v>
      </c>
      <c r="D887" s="87" t="inlineStr">
        <is>
          <t>CARLOS ALBERTO DOS SANTOS JUNIOR</t>
        </is>
      </c>
      <c r="E887" s="87" t="inlineStr">
        <is>
          <t>Azul</t>
        </is>
      </c>
      <c r="F887" s="87" t="inlineStr">
        <is>
          <t>John</t>
        </is>
      </c>
      <c r="G887" s="87" t="inlineStr">
        <is>
          <t>M</t>
        </is>
      </c>
      <c r="H887" s="78" t="n">
        <v>5511971151456</v>
      </c>
      <c r="I887" s="87" t="inlineStr">
        <is>
          <t>Renovação</t>
        </is>
      </c>
      <c r="J887" s="87" t="inlineStr">
        <is>
          <t>Erro</t>
        </is>
      </c>
      <c r="K887" s="60" t="n">
        <v>46191</v>
      </c>
      <c r="L887" s="87">
        <f>TEXT(A887,"mmmm")</f>
        <v/>
      </c>
    </row>
    <row r="888">
      <c r="A888" s="60" t="n">
        <v>46182</v>
      </c>
      <c r="B888" s="60" t="n">
        <v>46185</v>
      </c>
      <c r="C888" s="60" t="n">
        <v>46188</v>
      </c>
      <c r="D888" s="87" t="inlineStr">
        <is>
          <t>LUIZ CARLOS BERTIN</t>
        </is>
      </c>
      <c r="E888" s="87" t="inlineStr">
        <is>
          <t>Azul</t>
        </is>
      </c>
      <c r="F888" s="87" t="inlineStr">
        <is>
          <t>Jacqueline</t>
        </is>
      </c>
      <c r="G888" s="87" t="inlineStr">
        <is>
          <t>F</t>
        </is>
      </c>
      <c r="H888" s="78" t="n">
        <v>5543998220143</v>
      </c>
      <c r="I888" s="87" t="inlineStr">
        <is>
          <t>Novo</t>
        </is>
      </c>
      <c r="J888" s="87" t="inlineStr">
        <is>
          <t>Assinado</t>
        </is>
      </c>
      <c r="K888" s="60" t="n">
        <v>46191</v>
      </c>
      <c r="L888" s="87">
        <f>TEXT(A888,"mmmm")</f>
        <v/>
      </c>
    </row>
    <row r="889">
      <c r="A889" s="60" t="n">
        <v>46183</v>
      </c>
      <c r="B889" s="60" t="n">
        <v>46186</v>
      </c>
      <c r="C889" s="60" t="n">
        <v>46189</v>
      </c>
      <c r="D889" s="87" t="inlineStr">
        <is>
          <t>VANESSA GONCALVES DOMINGUES</t>
        </is>
      </c>
      <c r="E889" s="87" t="inlineStr">
        <is>
          <t>Tokio</t>
        </is>
      </c>
      <c r="F889" s="87" t="inlineStr">
        <is>
          <t>Leticia</t>
        </is>
      </c>
      <c r="G889" s="87" t="inlineStr">
        <is>
          <t>F</t>
        </is>
      </c>
      <c r="H889" s="78" t="n">
        <v>5511937337652</v>
      </c>
      <c r="I889" s="87" t="inlineStr">
        <is>
          <t>Novo</t>
        </is>
      </c>
      <c r="J889" s="87" t="inlineStr">
        <is>
          <t>Assinado</t>
        </is>
      </c>
      <c r="K889" s="60" t="n">
        <v>46192</v>
      </c>
      <c r="L889" s="87">
        <f>TEXT(A889,"mmmm")</f>
        <v/>
      </c>
    </row>
    <row r="890">
      <c r="A890" s="60" t="n">
        <v>46183</v>
      </c>
      <c r="B890" s="60" t="n">
        <v>46186</v>
      </c>
      <c r="C890" s="60" t="n">
        <v>46189</v>
      </c>
      <c r="D890" s="87" t="inlineStr">
        <is>
          <t>ROBERTO BENTO BLEINAT</t>
        </is>
      </c>
      <c r="E890" s="87" t="inlineStr">
        <is>
          <t>Azul</t>
        </is>
      </c>
      <c r="F890" s="87" t="inlineStr">
        <is>
          <t>Isabella</t>
        </is>
      </c>
      <c r="G890" s="87" t="inlineStr">
        <is>
          <t>F</t>
        </is>
      </c>
      <c r="H890" s="78" t="n">
        <v>5511992007595</v>
      </c>
      <c r="I890" s="87" t="inlineStr">
        <is>
          <t>Novo</t>
        </is>
      </c>
      <c r="J890" s="87" t="inlineStr">
        <is>
          <t>Assinado</t>
        </is>
      </c>
      <c r="K890" s="60" t="n">
        <v>46192</v>
      </c>
      <c r="L890" s="87">
        <f>TEXT(A890,"mmmm")</f>
        <v/>
      </c>
    </row>
    <row r="891">
      <c r="A891" s="60" t="n">
        <v>46183</v>
      </c>
      <c r="B891" s="60" t="n">
        <v>46186</v>
      </c>
      <c r="C891" s="60" t="n">
        <v>46189</v>
      </c>
      <c r="D891" s="87" t="inlineStr">
        <is>
          <t>RICARDO REIS FRANKLIN</t>
        </is>
      </c>
      <c r="E891" s="87" t="inlineStr">
        <is>
          <t>Tokio</t>
        </is>
      </c>
      <c r="F891" s="87" t="inlineStr">
        <is>
          <t>Isabella</t>
        </is>
      </c>
      <c r="G891" s="87" t="inlineStr">
        <is>
          <t>F</t>
        </is>
      </c>
      <c r="H891" s="78" t="n">
        <v>5511987525949</v>
      </c>
      <c r="I891" s="87" t="inlineStr">
        <is>
          <t>Novo</t>
        </is>
      </c>
      <c r="J891" s="87" t="inlineStr">
        <is>
          <t>Assinado</t>
        </is>
      </c>
      <c r="K891" s="60" t="n">
        <v>46192</v>
      </c>
      <c r="L891" s="87">
        <f>TEXT(A891,"mmmm")</f>
        <v/>
      </c>
    </row>
    <row r="892">
      <c r="A892" s="60" t="n">
        <v>46175</v>
      </c>
      <c r="B892" s="60" t="n">
        <v>46178</v>
      </c>
      <c r="C892" s="60" t="n">
        <v>46181</v>
      </c>
      <c r="D892" s="87" t="inlineStr">
        <is>
          <t>NADI GUEDES IANELLI LEITE</t>
        </is>
      </c>
      <c r="E892" s="87" t="inlineStr">
        <is>
          <t>Suhai</t>
        </is>
      </c>
      <c r="F892" s="87" t="inlineStr">
        <is>
          <t>Jéssica</t>
        </is>
      </c>
      <c r="G892" s="87" t="inlineStr">
        <is>
          <t>F</t>
        </is>
      </c>
      <c r="H892" s="78" t="n">
        <v>5511980662443</v>
      </c>
      <c r="I892" s="87" t="inlineStr">
        <is>
          <t>Novo</t>
        </is>
      </c>
      <c r="J892" s="87" t="inlineStr">
        <is>
          <t>Assinado</t>
        </is>
      </c>
      <c r="K892" s="60" t="n">
        <v>46192</v>
      </c>
      <c r="L892" s="87">
        <f>TEXT(A892,"mmmm")</f>
        <v/>
      </c>
    </row>
    <row r="893">
      <c r="A893" s="60" t="n">
        <v>46183</v>
      </c>
      <c r="B893" s="60" t="n">
        <v>46186</v>
      </c>
      <c r="C893" s="60" t="n">
        <v>46189</v>
      </c>
      <c r="D893" s="87" t="inlineStr">
        <is>
          <t>BENEDITO SEVERIANO DA ROSA</t>
        </is>
      </c>
      <c r="E893" s="87" t="inlineStr">
        <is>
          <t>Azul</t>
        </is>
      </c>
      <c r="F893" s="87" t="inlineStr">
        <is>
          <t>Leticia</t>
        </is>
      </c>
      <c r="G893" s="87" t="inlineStr">
        <is>
          <t>F</t>
        </is>
      </c>
      <c r="H893" s="78" t="n">
        <v>5511942248211</v>
      </c>
      <c r="I893" s="87" t="inlineStr">
        <is>
          <t>Novo</t>
        </is>
      </c>
      <c r="J893" s="87" t="inlineStr">
        <is>
          <t>Assinado</t>
        </is>
      </c>
      <c r="K893" s="60" t="n">
        <v>46192</v>
      </c>
      <c r="L893" s="87">
        <f>TEXT(A893,"mmmm")</f>
        <v/>
      </c>
    </row>
    <row r="894">
      <c r="A894" s="60" t="n">
        <v>46183</v>
      </c>
      <c r="B894" s="60" t="n">
        <v>46186</v>
      </c>
      <c r="C894" s="60" t="n">
        <v>46189</v>
      </c>
      <c r="D894" s="87" t="inlineStr">
        <is>
          <t>RODRIGO DOS SANTOS VAZ</t>
        </is>
      </c>
      <c r="E894" s="87" t="inlineStr">
        <is>
          <t>Mapfre</t>
        </is>
      </c>
      <c r="F894" s="87" t="inlineStr">
        <is>
          <t>Leticia</t>
        </is>
      </c>
      <c r="G894" s="87" t="inlineStr">
        <is>
          <t>F</t>
        </is>
      </c>
      <c r="H894" s="78" t="n">
        <v>5514997011781</v>
      </c>
      <c r="I894" s="87" t="inlineStr">
        <is>
          <t>Novo</t>
        </is>
      </c>
      <c r="J894" s="87" t="inlineStr">
        <is>
          <t>Assinado</t>
        </is>
      </c>
      <c r="K894" s="60" t="n">
        <v>46192</v>
      </c>
      <c r="L894" s="87">
        <f>TEXT(A894,"mmmm")</f>
        <v/>
      </c>
    </row>
    <row r="895">
      <c r="A895" s="60" t="n">
        <v>46183</v>
      </c>
      <c r="B895" s="60" t="n">
        <v>46186</v>
      </c>
      <c r="C895" s="60" t="n">
        <v>46189</v>
      </c>
      <c r="D895" s="87" t="inlineStr">
        <is>
          <t>ABRAHAO RAIMUNDO DA SILVA</t>
        </is>
      </c>
      <c r="E895" s="87" t="inlineStr">
        <is>
          <t>Tokio</t>
        </is>
      </c>
      <c r="F895" s="87" t="inlineStr">
        <is>
          <t>Leticia</t>
        </is>
      </c>
      <c r="G895" s="87" t="inlineStr">
        <is>
          <t>F</t>
        </is>
      </c>
      <c r="H895" s="78" t="n">
        <v>5511949712417</v>
      </c>
      <c r="I895" s="87" t="inlineStr">
        <is>
          <t>Novo</t>
        </is>
      </c>
      <c r="J895" s="87" t="inlineStr">
        <is>
          <t>Assinado</t>
        </is>
      </c>
      <c r="K895" s="60" t="n">
        <v>46192</v>
      </c>
      <c r="L895" s="87">
        <f>TEXT(A895,"mmmm")</f>
        <v/>
      </c>
    </row>
    <row r="896">
      <c r="A896" s="60" t="n">
        <v>46184</v>
      </c>
      <c r="B896" s="60" t="n">
        <v>46187</v>
      </c>
      <c r="C896" s="60" t="n">
        <v>46190</v>
      </c>
      <c r="D896" s="87" t="inlineStr">
        <is>
          <t>BENEDITO RICARDO DA SILVA</t>
        </is>
      </c>
      <c r="E896" s="87" t="inlineStr">
        <is>
          <t>Azul</t>
        </is>
      </c>
      <c r="F896" s="87" t="inlineStr">
        <is>
          <t>Jacqueline</t>
        </is>
      </c>
      <c r="G896" s="87" t="inlineStr">
        <is>
          <t>F</t>
        </is>
      </c>
      <c r="H896" s="78" t="n">
        <v>5512996843279</v>
      </c>
      <c r="I896" s="87" t="inlineStr">
        <is>
          <t>Novo</t>
        </is>
      </c>
      <c r="J896" s="87" t="inlineStr">
        <is>
          <t>Na planilha</t>
        </is>
      </c>
      <c r="K896" s="60" t="n">
        <v>46193</v>
      </c>
      <c r="L896" s="87">
        <f>TEXT(A896,"mmmm")</f>
        <v/>
      </c>
    </row>
    <row r="897">
      <c r="A897" s="60" t="n">
        <v>46184</v>
      </c>
      <c r="B897" s="60" t="n">
        <v>46187</v>
      </c>
      <c r="C897" s="60" t="n">
        <v>46190</v>
      </c>
      <c r="D897" s="87" t="inlineStr">
        <is>
          <t>HUGO DE SOUSA BRITO</t>
        </is>
      </c>
      <c r="E897" s="87" t="inlineStr">
        <is>
          <t>Itaú</t>
        </is>
      </c>
      <c r="F897" s="87" t="inlineStr">
        <is>
          <t>Jacqueline</t>
        </is>
      </c>
      <c r="G897" s="87" t="inlineStr">
        <is>
          <t>F</t>
        </is>
      </c>
      <c r="H897" s="78" t="n">
        <v>5511967815915</v>
      </c>
      <c r="I897" s="87" t="inlineStr">
        <is>
          <t>Novo</t>
        </is>
      </c>
      <c r="J897" s="87" t="inlineStr">
        <is>
          <t>Cancelado</t>
        </is>
      </c>
      <c r="K897" s="60" t="n">
        <v>46193</v>
      </c>
      <c r="L897" s="87">
        <f>TEXT(A897,"mmmm")</f>
        <v/>
      </c>
    </row>
    <row r="898">
      <c r="A898" s="60" t="n">
        <v>46184</v>
      </c>
      <c r="B898" s="60" t="n">
        <v>46187</v>
      </c>
      <c r="C898" s="60" t="n">
        <v>46190</v>
      </c>
      <c r="D898" s="87" t="inlineStr">
        <is>
          <t>ADSON OLIVEIRA DESSA</t>
        </is>
      </c>
      <c r="E898" s="87" t="inlineStr">
        <is>
          <t>Azul</t>
        </is>
      </c>
      <c r="F898" s="87" t="inlineStr">
        <is>
          <t>Jacqueline</t>
        </is>
      </c>
      <c r="G898" s="87" t="inlineStr">
        <is>
          <t>F</t>
        </is>
      </c>
      <c r="H898" s="78" t="n">
        <v>5511950827013</v>
      </c>
      <c r="I898" s="87" t="inlineStr">
        <is>
          <t>Novo</t>
        </is>
      </c>
      <c r="J898" s="87" t="inlineStr">
        <is>
          <t>Assinado</t>
        </is>
      </c>
      <c r="K898" s="60" t="n">
        <v>46193</v>
      </c>
      <c r="L898" s="87">
        <f>TEXT(A898,"mmmm")</f>
        <v/>
      </c>
    </row>
    <row r="899">
      <c r="A899" s="60" t="n">
        <v>46184</v>
      </c>
      <c r="B899" s="60" t="n">
        <v>46187</v>
      </c>
      <c r="C899" s="60" t="n">
        <v>46190</v>
      </c>
      <c r="D899" s="87" t="inlineStr">
        <is>
          <t>PATRICIA MARQUES SOARES</t>
        </is>
      </c>
      <c r="E899" s="87" t="inlineStr">
        <is>
          <t>HDI</t>
        </is>
      </c>
      <c r="F899" s="87" t="inlineStr">
        <is>
          <t>Jéssica</t>
        </is>
      </c>
      <c r="G899" s="87" t="inlineStr">
        <is>
          <t>F</t>
        </is>
      </c>
      <c r="H899" s="78" t="n">
        <v>5561984624036</v>
      </c>
      <c r="I899" s="87" t="inlineStr">
        <is>
          <t>Novo</t>
        </is>
      </c>
      <c r="J899" s="87" t="inlineStr">
        <is>
          <t>Cancelado</t>
        </is>
      </c>
      <c r="K899" s="60" t="n">
        <v>46193</v>
      </c>
      <c r="L899" s="87">
        <f>TEXT(A899,"mmmm")</f>
        <v/>
      </c>
    </row>
    <row r="900">
      <c r="A900" s="60" t="n">
        <v>46184</v>
      </c>
      <c r="B900" s="60" t="n">
        <v>46187</v>
      </c>
      <c r="C900" s="60" t="n">
        <v>46190</v>
      </c>
      <c r="D900" s="87" t="inlineStr">
        <is>
          <t>FABIANO DE QUEIROZ</t>
        </is>
      </c>
      <c r="E900" s="87" t="inlineStr">
        <is>
          <t>Azul</t>
        </is>
      </c>
      <c r="F900" s="87" t="inlineStr">
        <is>
          <t>John</t>
        </is>
      </c>
      <c r="G900" s="87" t="inlineStr">
        <is>
          <t>M</t>
        </is>
      </c>
      <c r="H900" s="78" t="n">
        <v>5515998399928</v>
      </c>
      <c r="I900" s="87" t="inlineStr">
        <is>
          <t>Renovação</t>
        </is>
      </c>
      <c r="J900" s="87" t="inlineStr">
        <is>
          <t>Assinado</t>
        </is>
      </c>
      <c r="K900" s="60" t="n">
        <v>46193</v>
      </c>
      <c r="L900" s="87">
        <f>TEXT(A900,"mmmm")</f>
        <v/>
      </c>
    </row>
    <row r="901">
      <c r="A901" s="60" t="n">
        <v>46184</v>
      </c>
      <c r="B901" s="60" t="n">
        <v>46187</v>
      </c>
      <c r="C901" s="60" t="n">
        <v>46190</v>
      </c>
      <c r="D901" s="87" t="inlineStr">
        <is>
          <t>LUIZ CARLOS TORRIS</t>
        </is>
      </c>
      <c r="E901" s="87" t="inlineStr">
        <is>
          <t>Suhai</t>
        </is>
      </c>
      <c r="F901" s="87" t="inlineStr">
        <is>
          <t>John</t>
        </is>
      </c>
      <c r="G901" s="87" t="inlineStr">
        <is>
          <t>M</t>
        </is>
      </c>
      <c r="H901" s="78" t="n">
        <v>555981883532</v>
      </c>
      <c r="I901" s="87" t="inlineStr">
        <is>
          <t>Novo</t>
        </is>
      </c>
      <c r="J901" s="87" t="inlineStr">
        <is>
          <t>Na planilha</t>
        </is>
      </c>
      <c r="K901" s="60" t="n">
        <v>46193</v>
      </c>
      <c r="L901" s="87">
        <f>TEXT(A901,"mmmm")</f>
        <v/>
      </c>
    </row>
    <row r="902">
      <c r="A902" s="60" t="n">
        <v>46184</v>
      </c>
      <c r="B902" s="60" t="n">
        <v>46187</v>
      </c>
      <c r="C902" s="60" t="n">
        <v>46190</v>
      </c>
      <c r="D902" s="87" t="inlineStr">
        <is>
          <t>VAGNER WILLIAM DE PAULA</t>
        </is>
      </c>
      <c r="E902" s="87" t="inlineStr">
        <is>
          <t>Porto</t>
        </is>
      </c>
      <c r="F902" s="87" t="inlineStr">
        <is>
          <t>John</t>
        </is>
      </c>
      <c r="G902" s="87" t="inlineStr">
        <is>
          <t>M</t>
        </is>
      </c>
      <c r="H902" s="78" t="n">
        <v>5511992347823</v>
      </c>
      <c r="I902" s="87" t="inlineStr">
        <is>
          <t>Renovação</t>
        </is>
      </c>
      <c r="J902" s="87" t="inlineStr">
        <is>
          <t>Assinado</t>
        </is>
      </c>
      <c r="K902" s="60" t="n">
        <v>46193</v>
      </c>
      <c r="L902" s="87">
        <f>TEXT(A902,"mmmm")</f>
        <v/>
      </c>
    </row>
    <row r="903">
      <c r="A903" s="60" t="n">
        <v>46184</v>
      </c>
      <c r="B903" s="60" t="n">
        <v>46187</v>
      </c>
      <c r="C903" s="60" t="n">
        <v>46190</v>
      </c>
      <c r="D903" s="87" t="inlineStr">
        <is>
          <t>FILIPE GREGORIO BERTOLINI CORREA</t>
        </is>
      </c>
      <c r="E903" s="87" t="inlineStr">
        <is>
          <t>Porto</t>
        </is>
      </c>
      <c r="F903" s="87" t="inlineStr">
        <is>
          <t>Jacqueline</t>
        </is>
      </c>
      <c r="G903" s="87" t="inlineStr">
        <is>
          <t>F</t>
        </is>
      </c>
      <c r="H903" s="78" t="n">
        <v>5531975202120</v>
      </c>
      <c r="I903" s="87" t="inlineStr">
        <is>
          <t>Novo</t>
        </is>
      </c>
      <c r="J903" s="87" t="inlineStr">
        <is>
          <t>Assinado</t>
        </is>
      </c>
      <c r="K903" s="60" t="n">
        <v>46193</v>
      </c>
      <c r="L903" s="87">
        <f>TEXT(A903,"mmmm")</f>
        <v/>
      </c>
    </row>
    <row r="904">
      <c r="A904" s="60" t="n">
        <v>46185</v>
      </c>
      <c r="B904" s="60" t="n">
        <v>46188</v>
      </c>
      <c r="C904" s="60" t="n">
        <v>46191</v>
      </c>
      <c r="D904" s="87" t="inlineStr">
        <is>
          <t>MARTA CRISTINA NUNES DA SILVA</t>
        </is>
      </c>
      <c r="E904" s="87" t="inlineStr">
        <is>
          <t>Suhai</t>
        </is>
      </c>
      <c r="F904" s="87" t="inlineStr">
        <is>
          <t>Isabella</t>
        </is>
      </c>
      <c r="G904" s="87" t="inlineStr">
        <is>
          <t>F</t>
        </is>
      </c>
      <c r="H904" s="78" t="n">
        <v>5519987140091</v>
      </c>
      <c r="I904" s="87" t="inlineStr">
        <is>
          <t>Renovação</t>
        </is>
      </c>
      <c r="J904" s="87" t="inlineStr">
        <is>
          <t>Erro</t>
        </is>
      </c>
      <c r="K904" s="60" t="n">
        <v>46194</v>
      </c>
      <c r="L904" s="87">
        <f>TEXT(A904,"mmmm")</f>
        <v/>
      </c>
    </row>
    <row r="905">
      <c r="A905" s="60" t="n">
        <v>46185</v>
      </c>
      <c r="B905" s="60" t="n">
        <v>46188</v>
      </c>
      <c r="C905" s="60" t="n">
        <v>46191</v>
      </c>
      <c r="D905" s="87" t="inlineStr">
        <is>
          <t>GILDEIR RIBEIRO DA SILVA</t>
        </is>
      </c>
      <c r="E905" s="87" t="inlineStr">
        <is>
          <t>Tokio</t>
        </is>
      </c>
      <c r="F905" s="87" t="inlineStr">
        <is>
          <t>Isabella</t>
        </is>
      </c>
      <c r="G905" s="87" t="inlineStr">
        <is>
          <t>F</t>
        </is>
      </c>
      <c r="H905" s="78" t="n">
        <v>5519998015730</v>
      </c>
      <c r="I905" s="87" t="inlineStr">
        <is>
          <t>Novo</t>
        </is>
      </c>
      <c r="J905" s="87" t="inlineStr">
        <is>
          <t>Assinado</t>
        </is>
      </c>
      <c r="K905" s="60" t="n">
        <v>46194</v>
      </c>
      <c r="L905" s="87">
        <f>TEXT(A905,"mmmm")</f>
        <v/>
      </c>
    </row>
    <row r="906">
      <c r="A906" s="60" t="n">
        <v>46185</v>
      </c>
      <c r="B906" s="60" t="n">
        <v>46188</v>
      </c>
      <c r="C906" s="60" t="n">
        <v>46191</v>
      </c>
      <c r="D906" s="87" t="inlineStr">
        <is>
          <t>IVANILDO COSTA DOS SANTOS</t>
        </is>
      </c>
      <c r="E906" s="87" t="inlineStr">
        <is>
          <t>Tokio</t>
        </is>
      </c>
      <c r="F906" s="87" t="inlineStr">
        <is>
          <t>Isabella</t>
        </is>
      </c>
      <c r="G906" s="87" t="inlineStr">
        <is>
          <t>F</t>
        </is>
      </c>
      <c r="H906" s="78" t="n">
        <v>5577999493350</v>
      </c>
      <c r="I906" s="87" t="inlineStr">
        <is>
          <t>Novo</t>
        </is>
      </c>
      <c r="J906" s="87" t="inlineStr">
        <is>
          <t>Assinado</t>
        </is>
      </c>
      <c r="K906" s="60" t="n">
        <v>46194</v>
      </c>
      <c r="L906" s="87">
        <f>TEXT(A906,"mmmm")</f>
        <v/>
      </c>
    </row>
    <row r="907">
      <c r="A907" s="60" t="n">
        <v>46185</v>
      </c>
      <c r="B907" s="60" t="n">
        <v>46188</v>
      </c>
      <c r="C907" s="60" t="n">
        <v>46191</v>
      </c>
      <c r="D907" s="87" t="inlineStr">
        <is>
          <t>MANOEL JOAO DIAS</t>
        </is>
      </c>
      <c r="E907" s="87" t="inlineStr">
        <is>
          <t>Suhai</t>
        </is>
      </c>
      <c r="F907" s="87" t="inlineStr">
        <is>
          <t>John</t>
        </is>
      </c>
      <c r="G907" s="87" t="inlineStr">
        <is>
          <t>M</t>
        </is>
      </c>
      <c r="H907" s="78" t="n">
        <v>5511981403892</v>
      </c>
      <c r="I907" s="87" t="inlineStr">
        <is>
          <t>Renovação</t>
        </is>
      </c>
      <c r="J907" s="87" t="inlineStr">
        <is>
          <t>Na planilha</t>
        </is>
      </c>
      <c r="K907" s="60" t="n">
        <v>46194</v>
      </c>
      <c r="L907" s="87">
        <f>TEXT(A907,"mmmm")</f>
        <v/>
      </c>
    </row>
    <row r="908">
      <c r="A908" s="60" t="n">
        <v>46185</v>
      </c>
      <c r="B908" s="60" t="n">
        <v>46188</v>
      </c>
      <c r="C908" s="60" t="n">
        <v>46191</v>
      </c>
      <c r="D908" s="87" t="inlineStr">
        <is>
          <t>ISAMARA CAMPANHA</t>
        </is>
      </c>
      <c r="E908" s="87" t="inlineStr">
        <is>
          <t>Mapfre</t>
        </is>
      </c>
      <c r="F908" s="87" t="inlineStr">
        <is>
          <t>Leticia</t>
        </is>
      </c>
      <c r="G908" s="87" t="inlineStr">
        <is>
          <t>F</t>
        </is>
      </c>
      <c r="H908" s="78" t="n">
        <v>5519996507621</v>
      </c>
      <c r="I908" s="87" t="inlineStr">
        <is>
          <t>Novo</t>
        </is>
      </c>
      <c r="J908" s="87" t="inlineStr">
        <is>
          <t>Na planilha</t>
        </is>
      </c>
      <c r="K908" s="60" t="n">
        <v>46194</v>
      </c>
      <c r="L908" s="87">
        <f>TEXT(A908,"mmmm")</f>
        <v/>
      </c>
    </row>
    <row r="909">
      <c r="A909" s="60" t="n">
        <v>46185</v>
      </c>
      <c r="B909" s="60" t="n">
        <v>46188</v>
      </c>
      <c r="C909" s="60" t="n">
        <v>46191</v>
      </c>
      <c r="D909" s="87" t="inlineStr">
        <is>
          <t>PAMELA CRISTINA INACIO</t>
        </is>
      </c>
      <c r="E909" s="87" t="inlineStr">
        <is>
          <t>Tokio</t>
        </is>
      </c>
      <c r="F909" s="87" t="inlineStr">
        <is>
          <t>John</t>
        </is>
      </c>
      <c r="G909" s="87" t="inlineStr">
        <is>
          <t>M</t>
        </is>
      </c>
      <c r="H909" s="78" t="n">
        <v>5511988262984</v>
      </c>
      <c r="I909" s="87" t="inlineStr">
        <is>
          <t>Novo</t>
        </is>
      </c>
      <c r="J909" s="87" t="inlineStr">
        <is>
          <t>Assinado</t>
        </is>
      </c>
      <c r="K909" s="60" t="n">
        <v>46194</v>
      </c>
      <c r="L909" s="87">
        <f>TEXT(A909,"mmmm")</f>
        <v/>
      </c>
    </row>
    <row r="910">
      <c r="A910" s="60" t="n">
        <v>46185</v>
      </c>
      <c r="B910" s="60" t="n">
        <v>46188</v>
      </c>
      <c r="C910" s="60" t="n">
        <v>46191</v>
      </c>
      <c r="D910" s="87" t="inlineStr">
        <is>
          <t>FRANCISCO CARLOS DA SILVA</t>
        </is>
      </c>
      <c r="E910" s="87" t="inlineStr">
        <is>
          <t>Tokio</t>
        </is>
      </c>
      <c r="F910" s="87" t="inlineStr">
        <is>
          <t>John</t>
        </is>
      </c>
      <c r="G910" s="87" t="inlineStr">
        <is>
          <t>M</t>
        </is>
      </c>
      <c r="H910" s="78" t="n">
        <v>5511977094575</v>
      </c>
      <c r="I910" s="87" t="inlineStr">
        <is>
          <t>Renovação</t>
        </is>
      </c>
      <c r="J910" s="87" t="inlineStr">
        <is>
          <t>Assinado</t>
        </is>
      </c>
      <c r="K910" s="60" t="n">
        <v>46194</v>
      </c>
      <c r="L910" s="87">
        <f>TEXT(A910,"mmmm")</f>
        <v/>
      </c>
    </row>
    <row r="911">
      <c r="A911" s="60" t="n">
        <v>46185</v>
      </c>
      <c r="B911" s="60" t="n">
        <v>46188</v>
      </c>
      <c r="C911" s="60" t="n">
        <v>46191</v>
      </c>
      <c r="D911" s="87" t="inlineStr">
        <is>
          <t>DANTE AURELIO SOARES</t>
        </is>
      </c>
      <c r="E911" s="87" t="inlineStr">
        <is>
          <t>Azul</t>
        </is>
      </c>
      <c r="F911" s="87" t="inlineStr">
        <is>
          <t>Leticia</t>
        </is>
      </c>
      <c r="G911" s="87" t="inlineStr">
        <is>
          <t>F</t>
        </is>
      </c>
      <c r="H911" s="78" t="n">
        <v>5511962935541</v>
      </c>
      <c r="I911" s="87" t="inlineStr">
        <is>
          <t>Novo</t>
        </is>
      </c>
      <c r="J911" s="87" t="inlineStr">
        <is>
          <t>Assinado</t>
        </is>
      </c>
      <c r="K911" s="60" t="n">
        <v>46194</v>
      </c>
      <c r="L911" s="87">
        <f>TEXT(A911,"mmmm")</f>
        <v/>
      </c>
    </row>
    <row r="912">
      <c r="A912" s="60" t="n">
        <v>46188</v>
      </c>
      <c r="B912" s="60" t="n">
        <v>46191</v>
      </c>
      <c r="C912" s="60" t="n">
        <v>46194</v>
      </c>
      <c r="D912" s="87" t="inlineStr">
        <is>
          <t>GILVAN LUIZ DA SILVA</t>
        </is>
      </c>
      <c r="E912" s="87" t="inlineStr">
        <is>
          <t>Tokio</t>
        </is>
      </c>
      <c r="F912" s="87" t="inlineStr">
        <is>
          <t>John</t>
        </is>
      </c>
      <c r="G912" s="87" t="inlineStr">
        <is>
          <t>M</t>
        </is>
      </c>
      <c r="H912" s="75" t="n">
        <v>5513996359656</v>
      </c>
      <c r="I912" s="87" t="inlineStr">
        <is>
          <t>Novo</t>
        </is>
      </c>
      <c r="J912" s="87" t="inlineStr">
        <is>
          <t>Assinado</t>
        </is>
      </c>
      <c r="K912" s="60" t="n">
        <v>46197</v>
      </c>
      <c r="L912" s="87">
        <f>TEXT(A912,"mmmm")</f>
        <v/>
      </c>
    </row>
    <row r="913">
      <c r="A913" s="60" t="n">
        <v>46188</v>
      </c>
      <c r="B913" s="60" t="n">
        <v>46191</v>
      </c>
      <c r="C913" s="60" t="n">
        <v>46194</v>
      </c>
      <c r="D913" s="87" t="inlineStr">
        <is>
          <t>JAIME DA ROCHA BARBOSA</t>
        </is>
      </c>
      <c r="E913" s="87" t="inlineStr">
        <is>
          <t>Mapfre</t>
        </is>
      </c>
      <c r="F913" s="87" t="inlineStr">
        <is>
          <t>Myrelle</t>
        </is>
      </c>
      <c r="G913" s="87" t="inlineStr">
        <is>
          <t>F</t>
        </is>
      </c>
      <c r="H913" s="78" t="n">
        <v>5517991973185</v>
      </c>
      <c r="I913" s="87" t="inlineStr">
        <is>
          <t>Novo</t>
        </is>
      </c>
      <c r="J913" s="87" t="inlineStr">
        <is>
          <t>Na planilha</t>
        </is>
      </c>
      <c r="K913" s="60" t="n">
        <v>46197</v>
      </c>
      <c r="L913" s="87">
        <f>TEXT(A913,"mmmm")</f>
        <v/>
      </c>
    </row>
    <row r="914">
      <c r="A914" s="60" t="n">
        <v>46188</v>
      </c>
      <c r="B914" s="60" t="n">
        <v>46191</v>
      </c>
      <c r="C914" s="60" t="n">
        <v>46194</v>
      </c>
      <c r="D914" s="87" t="inlineStr">
        <is>
          <t>YAN MATHEUS IAMAMURA ANDRADE</t>
        </is>
      </c>
      <c r="E914" s="87" t="inlineStr">
        <is>
          <t>Suhai</t>
        </is>
      </c>
      <c r="F914" s="87" t="inlineStr">
        <is>
          <t>John</t>
        </is>
      </c>
      <c r="G914" s="87" t="inlineStr">
        <is>
          <t>M</t>
        </is>
      </c>
      <c r="H914" s="78" t="n">
        <v>5511931522634</v>
      </c>
      <c r="I914" s="87" t="inlineStr">
        <is>
          <t>Renovação</t>
        </is>
      </c>
      <c r="J914" s="87" t="inlineStr">
        <is>
          <t>Na planilha</t>
        </is>
      </c>
      <c r="K914" s="60" t="n">
        <v>46197</v>
      </c>
      <c r="L914" s="87">
        <f>TEXT(A914,"mmmm")</f>
        <v/>
      </c>
    </row>
    <row r="915">
      <c r="A915" s="60" t="n">
        <v>46188</v>
      </c>
      <c r="B915" s="60" t="n">
        <v>46191</v>
      </c>
      <c r="C915" s="60" t="n">
        <v>46194</v>
      </c>
      <c r="D915" s="87" t="inlineStr">
        <is>
          <t>DIEGO LOPES CALDEIRA</t>
        </is>
      </c>
      <c r="E915" s="87" t="inlineStr">
        <is>
          <t>Azul</t>
        </is>
      </c>
      <c r="F915" s="87" t="inlineStr">
        <is>
          <t>Leticia</t>
        </is>
      </c>
      <c r="G915" s="87" t="inlineStr">
        <is>
          <t>F</t>
        </is>
      </c>
      <c r="H915" s="78" t="n">
        <v>5511933352675</v>
      </c>
      <c r="I915" s="87" t="inlineStr">
        <is>
          <t>Novo</t>
        </is>
      </c>
      <c r="J915" s="87" t="inlineStr">
        <is>
          <t>Assinado</t>
        </is>
      </c>
      <c r="K915" s="60" t="n">
        <v>46197</v>
      </c>
      <c r="L915" s="87">
        <f>TEXT(A915,"mmmm")</f>
        <v/>
      </c>
    </row>
    <row r="916">
      <c r="A916" s="60" t="n">
        <v>46188</v>
      </c>
      <c r="B916" s="60" t="n">
        <v>46191</v>
      </c>
      <c r="C916" s="60" t="n">
        <v>46194</v>
      </c>
      <c r="D916" s="87" t="inlineStr">
        <is>
          <t>GILSON PAULO DA SILVA ROCHA</t>
        </is>
      </c>
      <c r="E916" s="87" t="inlineStr">
        <is>
          <t>Porto</t>
        </is>
      </c>
      <c r="F916" s="87" t="inlineStr">
        <is>
          <t>John</t>
        </is>
      </c>
      <c r="G916" s="87" t="inlineStr">
        <is>
          <t>M</t>
        </is>
      </c>
      <c r="H916" s="78" t="n">
        <v>5511999713713</v>
      </c>
      <c r="I916" s="87" t="inlineStr">
        <is>
          <t>Novo</t>
        </is>
      </c>
      <c r="J916" s="87" t="inlineStr">
        <is>
          <t>Assinado</t>
        </is>
      </c>
      <c r="K916" s="60" t="n">
        <v>46197</v>
      </c>
      <c r="L916" s="87">
        <f>TEXT(A916,"mmmm")</f>
        <v/>
      </c>
    </row>
    <row r="917">
      <c r="A917" s="60" t="n">
        <v>46188</v>
      </c>
      <c r="B917" s="60" t="n">
        <v>46191</v>
      </c>
      <c r="C917" s="60" t="n">
        <v>46194</v>
      </c>
      <c r="D917" s="87" t="inlineStr">
        <is>
          <t>FATIMA CRISTINA MONTEIRO DE OLIVEIRA</t>
        </is>
      </c>
      <c r="E917" s="87" t="inlineStr">
        <is>
          <t>Porto</t>
        </is>
      </c>
      <c r="F917" s="87" t="inlineStr">
        <is>
          <t>John</t>
        </is>
      </c>
      <c r="G917" s="87" t="inlineStr">
        <is>
          <t>M</t>
        </is>
      </c>
      <c r="H917" s="78" t="n">
        <v>5511947209145</v>
      </c>
      <c r="I917" s="87" t="inlineStr">
        <is>
          <t>Novo</t>
        </is>
      </c>
      <c r="J917" s="87" t="inlineStr">
        <is>
          <t>Assinado</t>
        </is>
      </c>
      <c r="K917" s="60" t="n">
        <v>46197</v>
      </c>
      <c r="L917" s="87">
        <f>TEXT(A917,"mmmm")</f>
        <v/>
      </c>
    </row>
    <row r="918">
      <c r="A918" s="60" t="n">
        <v>46189</v>
      </c>
      <c r="B918" s="60" t="n">
        <v>46192</v>
      </c>
      <c r="C918" s="60" t="n">
        <v>46195</v>
      </c>
      <c r="D918" s="87" t="inlineStr">
        <is>
          <t>NEIDE CAMILO DIAS</t>
        </is>
      </c>
      <c r="E918" s="87" t="inlineStr">
        <is>
          <t>Tokio</t>
        </is>
      </c>
      <c r="F918" s="87" t="inlineStr">
        <is>
          <t>Myrelle</t>
        </is>
      </c>
      <c r="G918" s="87" t="inlineStr">
        <is>
          <t>F</t>
        </is>
      </c>
      <c r="H918" s="78" t="n">
        <v>5512996578432</v>
      </c>
      <c r="I918" s="87" t="inlineStr">
        <is>
          <t>Novo</t>
        </is>
      </c>
      <c r="J918" s="87" t="inlineStr">
        <is>
          <t>Assinado</t>
        </is>
      </c>
      <c r="K918" s="60" t="n">
        <v>46198</v>
      </c>
      <c r="L918" s="87">
        <f>TEXT(A918,"mmmm")</f>
        <v/>
      </c>
    </row>
    <row r="919">
      <c r="A919" s="60" t="n">
        <v>46189</v>
      </c>
      <c r="B919" s="60" t="n">
        <v>46192</v>
      </c>
      <c r="C919" s="60" t="n">
        <v>46195</v>
      </c>
      <c r="D919" s="87" t="inlineStr">
        <is>
          <t>MARCIA APARECIDA DE SOUZA</t>
        </is>
      </c>
      <c r="E919" s="87" t="inlineStr">
        <is>
          <t>Tokio</t>
        </is>
      </c>
      <c r="F919" s="87" t="inlineStr">
        <is>
          <t>John</t>
        </is>
      </c>
      <c r="G919" s="87" t="inlineStr">
        <is>
          <t>M</t>
        </is>
      </c>
      <c r="H919" s="78" t="n">
        <v>5511975721009</v>
      </c>
      <c r="I919" s="87" t="inlineStr">
        <is>
          <t>Novo</t>
        </is>
      </c>
      <c r="J919" s="87" t="inlineStr">
        <is>
          <t>Na planilha</t>
        </is>
      </c>
      <c r="K919" s="60" t="n">
        <v>46198</v>
      </c>
      <c r="L919" s="87">
        <f>TEXT(A919,"mmmm")</f>
        <v/>
      </c>
    </row>
    <row r="920">
      <c r="A920" s="60" t="n">
        <v>46189</v>
      </c>
      <c r="B920" s="60" t="n">
        <v>46192</v>
      </c>
      <c r="C920" s="60" t="n">
        <v>46195</v>
      </c>
      <c r="D920" s="87" t="inlineStr">
        <is>
          <t>AILTON SANTOS SENA</t>
        </is>
      </c>
      <c r="E920" s="87" t="inlineStr">
        <is>
          <t>Tokio</t>
        </is>
      </c>
      <c r="F920" s="87" t="inlineStr">
        <is>
          <t>Isabella</t>
        </is>
      </c>
      <c r="G920" s="87" t="inlineStr">
        <is>
          <t>F</t>
        </is>
      </c>
      <c r="H920" s="78" t="n">
        <v>5511970595338</v>
      </c>
      <c r="I920" s="87" t="inlineStr">
        <is>
          <t>Novo</t>
        </is>
      </c>
      <c r="J920" s="87" t="inlineStr">
        <is>
          <t>Na planilha</t>
        </is>
      </c>
      <c r="K920" s="60" t="n">
        <v>46198</v>
      </c>
      <c r="L920" s="87">
        <f>TEXT(A920,"mmmm")</f>
        <v/>
      </c>
    </row>
    <row r="921">
      <c r="A921" s="60" t="n">
        <v>46189</v>
      </c>
      <c r="B921" s="60" t="n">
        <v>46192</v>
      </c>
      <c r="C921" s="60" t="n">
        <v>46195</v>
      </c>
      <c r="D921" s="87" t="inlineStr">
        <is>
          <t>FABRICIO DANTAS FELIX</t>
        </is>
      </c>
      <c r="E921" s="87" t="inlineStr">
        <is>
          <t>Suhai</t>
        </is>
      </c>
      <c r="F921" s="87" t="inlineStr">
        <is>
          <t>Jéssica</t>
        </is>
      </c>
      <c r="G921" s="87" t="inlineStr">
        <is>
          <t>F</t>
        </is>
      </c>
      <c r="H921" s="78" t="n">
        <v>5511958917636</v>
      </c>
      <c r="I921" s="87" t="inlineStr">
        <is>
          <t>Novo</t>
        </is>
      </c>
      <c r="J921" s="87" t="inlineStr">
        <is>
          <t>Na planilha</t>
        </is>
      </c>
      <c r="K921" s="60" t="n">
        <v>46198</v>
      </c>
      <c r="L921" s="87">
        <f>TEXT(A921,"mmmm")</f>
        <v/>
      </c>
    </row>
    <row r="922">
      <c r="A922" s="60" t="n">
        <v>46189</v>
      </c>
      <c r="B922" s="60" t="n">
        <v>46192</v>
      </c>
      <c r="C922" s="60" t="n">
        <v>46195</v>
      </c>
      <c r="D922" s="87" t="inlineStr">
        <is>
          <t>EVERTON LUIZ DA SILVA</t>
        </is>
      </c>
      <c r="E922" s="87" t="inlineStr">
        <is>
          <t>Suhai</t>
        </is>
      </c>
      <c r="F922" s="87" t="inlineStr">
        <is>
          <t>Jacqueline</t>
        </is>
      </c>
      <c r="G922" s="87" t="inlineStr">
        <is>
          <t>F</t>
        </is>
      </c>
      <c r="H922" s="78" t="n">
        <v>5511914299398</v>
      </c>
      <c r="I922" s="87" t="inlineStr">
        <is>
          <t>Novo</t>
        </is>
      </c>
      <c r="J922" s="87" t="inlineStr">
        <is>
          <t>Assinado</t>
        </is>
      </c>
      <c r="K922" s="60" t="n">
        <v>46198</v>
      </c>
      <c r="L922" s="87">
        <f>TEXT(A922,"mmmm")</f>
        <v/>
      </c>
    </row>
    <row r="923">
      <c r="A923" s="60" t="n">
        <v>46189</v>
      </c>
      <c r="B923" s="60" t="n">
        <v>46192</v>
      </c>
      <c r="C923" s="60" t="n">
        <v>46195</v>
      </c>
      <c r="D923" s="87" t="inlineStr">
        <is>
          <t>EDENILSON DE JESUS SANTOS</t>
        </is>
      </c>
      <c r="E923" s="87" t="inlineStr">
        <is>
          <t>Suhai</t>
        </is>
      </c>
      <c r="F923" s="87" t="inlineStr">
        <is>
          <t>John</t>
        </is>
      </c>
      <c r="G923" s="87" t="inlineStr">
        <is>
          <t>M</t>
        </is>
      </c>
      <c r="H923" s="78" t="n">
        <v>5511916263642</v>
      </c>
      <c r="I923" s="87" t="inlineStr">
        <is>
          <t>Novo</t>
        </is>
      </c>
      <c r="J923" s="87" t="inlineStr">
        <is>
          <t>Na planilha</t>
        </is>
      </c>
      <c r="K923" s="60" t="n">
        <v>46198</v>
      </c>
      <c r="L923" s="87">
        <f>TEXT(A923,"mmmm")</f>
        <v/>
      </c>
    </row>
    <row r="924">
      <c r="A924" s="60" t="n">
        <v>46189</v>
      </c>
      <c r="B924" s="60" t="n">
        <v>46192</v>
      </c>
      <c r="C924" s="60" t="n">
        <v>46195</v>
      </c>
      <c r="D924" s="87" t="inlineStr">
        <is>
          <t>PATRICIA MARQUES SOARES</t>
        </is>
      </c>
      <c r="E924" s="87" t="inlineStr">
        <is>
          <t>HDI</t>
        </is>
      </c>
      <c r="F924" s="87" t="inlineStr">
        <is>
          <t>Jéssica</t>
        </is>
      </c>
      <c r="G924" s="87" t="inlineStr">
        <is>
          <t>F</t>
        </is>
      </c>
      <c r="H924" s="78" t="n">
        <v>5561984624036</v>
      </c>
      <c r="I924" s="87" t="inlineStr">
        <is>
          <t>Novo</t>
        </is>
      </c>
      <c r="J924" s="87" t="inlineStr">
        <is>
          <t>Na planilha</t>
        </is>
      </c>
      <c r="K924" s="60" t="n">
        <v>46198</v>
      </c>
      <c r="L924" s="87">
        <f>TEXT(A924,"mmmm")</f>
        <v/>
      </c>
    </row>
    <row r="925">
      <c r="A925" s="60" t="n">
        <v>46190</v>
      </c>
      <c r="B925" s="60" t="n">
        <v>46193</v>
      </c>
      <c r="C925" s="60" t="n">
        <v>46196</v>
      </c>
      <c r="D925" s="87" t="inlineStr">
        <is>
          <t>MARCIA DINIZ DOS SANTOS</t>
        </is>
      </c>
      <c r="E925" s="87" t="inlineStr">
        <is>
          <t>Yellum</t>
        </is>
      </c>
      <c r="F925" s="87" t="inlineStr">
        <is>
          <t>Leticia</t>
        </is>
      </c>
      <c r="G925" s="87" t="inlineStr">
        <is>
          <t>F</t>
        </is>
      </c>
      <c r="H925" s="78" t="n">
        <v>5519983438107</v>
      </c>
      <c r="I925" s="87" t="inlineStr">
        <is>
          <t>Renovação</t>
        </is>
      </c>
      <c r="J925" s="87" t="inlineStr">
        <is>
          <t>Na planilha</t>
        </is>
      </c>
      <c r="K925" s="60" t="n">
        <v>46198</v>
      </c>
      <c r="L925" s="87">
        <f>TEXT(A925,"mmmm")</f>
        <v/>
      </c>
    </row>
    <row r="926">
      <c r="A926" s="60" t="n">
        <v>46190</v>
      </c>
      <c r="B926" s="60" t="n">
        <v>46193</v>
      </c>
      <c r="C926" s="60" t="n">
        <v>46196</v>
      </c>
      <c r="D926" s="87" t="inlineStr">
        <is>
          <t>MARIA AUXILIADORA LIRA RODRIGUES</t>
        </is>
      </c>
      <c r="E926" s="87" t="inlineStr">
        <is>
          <t>Porto</t>
        </is>
      </c>
      <c r="F926" s="87" t="inlineStr">
        <is>
          <t>John</t>
        </is>
      </c>
      <c r="G926" s="87" t="inlineStr">
        <is>
          <t>M</t>
        </is>
      </c>
      <c r="H926" s="78" t="n">
        <v>5511972642810</v>
      </c>
      <c r="I926" s="87" t="inlineStr">
        <is>
          <t>Renovação</t>
        </is>
      </c>
      <c r="J926" s="87" t="inlineStr">
        <is>
          <t>Assinado</t>
        </is>
      </c>
      <c r="K926" s="60" t="n">
        <v>46199</v>
      </c>
      <c r="L926" s="87">
        <f>TEXT(A926,"mmmm")</f>
        <v/>
      </c>
    </row>
    <row r="927">
      <c r="A927" s="60" t="n">
        <v>46190</v>
      </c>
      <c r="B927" s="60" t="n">
        <v>46193</v>
      </c>
      <c r="C927" s="60" t="n">
        <v>46196</v>
      </c>
      <c r="D927" s="87" t="inlineStr">
        <is>
          <t>ALINE APARECIDA DE OLIVEIRA</t>
        </is>
      </c>
      <c r="E927" s="87" t="inlineStr">
        <is>
          <t>Allianz</t>
        </is>
      </c>
      <c r="F927" s="87" t="inlineStr">
        <is>
          <t>John</t>
        </is>
      </c>
      <c r="G927" s="87" t="inlineStr">
        <is>
          <t>M</t>
        </is>
      </c>
      <c r="H927" s="78" t="n">
        <v>5511959910483</v>
      </c>
      <c r="I927" s="87" t="inlineStr">
        <is>
          <t>Renovação</t>
        </is>
      </c>
      <c r="J927" s="87" t="inlineStr">
        <is>
          <t>Assinado</t>
        </is>
      </c>
      <c r="K927" s="60" t="n">
        <v>46199</v>
      </c>
      <c r="L927" s="87">
        <f>TEXT(A927,"mmmm")</f>
        <v/>
      </c>
    </row>
    <row r="928">
      <c r="A928" s="60" t="n">
        <v>46190</v>
      </c>
      <c r="B928" s="60" t="n">
        <v>46193</v>
      </c>
      <c r="C928" s="60" t="n">
        <v>46196</v>
      </c>
      <c r="D928" s="87" t="inlineStr">
        <is>
          <t>JHENNER DE OLIVEIRA CARVALHO</t>
        </is>
      </c>
      <c r="E928" s="87" t="inlineStr">
        <is>
          <t>Allianz</t>
        </is>
      </c>
      <c r="F928" s="87" t="inlineStr">
        <is>
          <t>John</t>
        </is>
      </c>
      <c r="G928" s="87" t="inlineStr">
        <is>
          <t>M</t>
        </is>
      </c>
      <c r="H928" s="78" t="n">
        <v>5511996972502</v>
      </c>
      <c r="I928" s="87" t="inlineStr">
        <is>
          <t>Novo</t>
        </is>
      </c>
      <c r="J928" s="87" t="inlineStr">
        <is>
          <t>Erro</t>
        </is>
      </c>
      <c r="K928" s="60" t="n">
        <v>46199</v>
      </c>
      <c r="L928" s="87">
        <f>TEXT(A928,"mmmm")</f>
        <v/>
      </c>
    </row>
    <row r="929">
      <c r="A929" s="60" t="n">
        <v>46190</v>
      </c>
      <c r="B929" s="60" t="n">
        <v>46193</v>
      </c>
      <c r="C929" s="60" t="n">
        <v>46196</v>
      </c>
      <c r="D929" s="87" t="inlineStr">
        <is>
          <t>CLAUDIO MARCOS BARBOSA NOGUEIRA</t>
        </is>
      </c>
      <c r="E929" s="87" t="inlineStr">
        <is>
          <t>Suhai</t>
        </is>
      </c>
      <c r="F929" s="87" t="inlineStr">
        <is>
          <t>Leticia</t>
        </is>
      </c>
      <c r="G929" s="87" t="inlineStr">
        <is>
          <t>F</t>
        </is>
      </c>
      <c r="H929" s="78" t="n">
        <v>5511939465144</v>
      </c>
      <c r="I929" s="87" t="inlineStr">
        <is>
          <t>Novo</t>
        </is>
      </c>
      <c r="J929" s="87" t="inlineStr">
        <is>
          <t>Na planilha</t>
        </is>
      </c>
      <c r="K929" s="60" t="n">
        <v>46199</v>
      </c>
      <c r="L929" s="87">
        <f>TEXT(A929,"mmmm")</f>
        <v/>
      </c>
    </row>
    <row r="930">
      <c r="A930" s="60" t="n">
        <v>46191</v>
      </c>
      <c r="B930" s="60" t="n">
        <v>46194</v>
      </c>
      <c r="C930" s="60" t="n">
        <v>46197</v>
      </c>
      <c r="D930" s="87" t="inlineStr">
        <is>
          <t>GILBERTO DA SILVA</t>
        </is>
      </c>
      <c r="E930" s="87" t="inlineStr">
        <is>
          <t>Azul</t>
        </is>
      </c>
      <c r="F930" s="87" t="inlineStr">
        <is>
          <t>Leticia</t>
        </is>
      </c>
      <c r="G930" s="87" t="inlineStr">
        <is>
          <t>F</t>
        </is>
      </c>
      <c r="H930" s="78" t="n">
        <v>5511998666275</v>
      </c>
      <c r="I930" s="87" t="inlineStr">
        <is>
          <t>Novo</t>
        </is>
      </c>
      <c r="J930" s="87" t="inlineStr">
        <is>
          <t>Assinado</t>
        </is>
      </c>
      <c r="K930" s="60" t="n">
        <v>46200</v>
      </c>
      <c r="L930" s="87">
        <f>TEXT(A930,"mmmm")</f>
        <v/>
      </c>
    </row>
    <row r="931">
      <c r="A931" s="60" t="n">
        <v>46192</v>
      </c>
      <c r="B931" s="60" t="n">
        <v>46195</v>
      </c>
      <c r="C931" s="60" t="n">
        <v>46198</v>
      </c>
      <c r="D931" s="87" t="inlineStr">
        <is>
          <t>ANA PAULA DA SILVEIRA NOTINI</t>
        </is>
      </c>
      <c r="E931" s="87" t="inlineStr">
        <is>
          <t>Azul</t>
        </is>
      </c>
      <c r="F931" s="87" t="inlineStr">
        <is>
          <t>Jacqueline</t>
        </is>
      </c>
      <c r="G931" s="87" t="inlineStr">
        <is>
          <t>F</t>
        </is>
      </c>
      <c r="H931" s="78" t="n">
        <v>5524999929885</v>
      </c>
      <c r="I931" s="87" t="inlineStr">
        <is>
          <t>Novo</t>
        </is>
      </c>
      <c r="J931" s="87" t="inlineStr">
        <is>
          <t>Na planilha</t>
        </is>
      </c>
      <c r="K931" s="60" t="n">
        <v>46201</v>
      </c>
      <c r="L931" s="87">
        <f>TEXT(A931,"mmmm")</f>
        <v/>
      </c>
    </row>
    <row r="932">
      <c r="A932" s="60" t="n">
        <v>46192</v>
      </c>
      <c r="B932" s="60" t="n">
        <v>46195</v>
      </c>
      <c r="C932" s="60" t="n">
        <v>46198</v>
      </c>
      <c r="D932" s="87" t="inlineStr">
        <is>
          <t>JOSE PEREIRA DA SILVA FILHO</t>
        </is>
      </c>
      <c r="E932" s="87" t="inlineStr">
        <is>
          <t>Azul</t>
        </is>
      </c>
      <c r="F932" s="87" t="inlineStr">
        <is>
          <t>Leticia</t>
        </is>
      </c>
      <c r="G932" s="87" t="inlineStr">
        <is>
          <t>F</t>
        </is>
      </c>
      <c r="H932" s="78" t="n">
        <v>5511981696284</v>
      </c>
      <c r="I932" s="87" t="inlineStr">
        <is>
          <t>Novo</t>
        </is>
      </c>
      <c r="J932" s="87" t="inlineStr">
        <is>
          <t>Assinado</t>
        </is>
      </c>
      <c r="K932" s="60" t="n">
        <v>46201</v>
      </c>
      <c r="L932" s="87">
        <f>TEXT(A932,"mmmm")</f>
        <v/>
      </c>
    </row>
    <row r="933">
      <c r="A933" s="60" t="n">
        <v>46192</v>
      </c>
      <c r="B933" s="60" t="n">
        <v>46195</v>
      </c>
      <c r="C933" s="60" t="n">
        <v>46198</v>
      </c>
      <c r="D933" s="87" t="inlineStr">
        <is>
          <t>SERGIO NICOLAU DE MENDONCA</t>
        </is>
      </c>
      <c r="E933" s="87" t="inlineStr">
        <is>
          <t>Azul</t>
        </is>
      </c>
      <c r="F933" s="87" t="inlineStr">
        <is>
          <t>Jéssica</t>
        </is>
      </c>
      <c r="G933" s="87" t="inlineStr">
        <is>
          <t>F</t>
        </is>
      </c>
      <c r="H933" s="78" t="n">
        <v>5511998694862</v>
      </c>
      <c r="I933" s="87" t="inlineStr">
        <is>
          <t>Novo</t>
        </is>
      </c>
      <c r="J933" s="87" t="inlineStr">
        <is>
          <t>Assinado</t>
        </is>
      </c>
      <c r="K933" s="60" t="n">
        <v>46201</v>
      </c>
      <c r="L933" s="87">
        <f>TEXT(A933,"mmmm")</f>
        <v/>
      </c>
    </row>
    <row r="934">
      <c r="A934" s="60" t="n">
        <v>46192</v>
      </c>
      <c r="B934" s="60" t="n">
        <v>46195</v>
      </c>
      <c r="C934" s="60" t="n">
        <v>46198</v>
      </c>
      <c r="D934" s="87" t="inlineStr">
        <is>
          <t>SEVERINO RAMOS DOS SANTOS</t>
        </is>
      </c>
      <c r="E934" s="87" t="inlineStr">
        <is>
          <t>Tokio</t>
        </is>
      </c>
      <c r="F934" s="87" t="inlineStr">
        <is>
          <t>John</t>
        </is>
      </c>
      <c r="G934" s="87" t="inlineStr">
        <is>
          <t>M</t>
        </is>
      </c>
      <c r="H934" s="78" t="n">
        <v>5511940833576</v>
      </c>
      <c r="I934" s="87" t="inlineStr">
        <is>
          <t>Renovação</t>
        </is>
      </c>
      <c r="J934" s="87" t="inlineStr">
        <is>
          <t>Assinado</t>
        </is>
      </c>
      <c r="K934" s="60" t="n">
        <v>46201</v>
      </c>
      <c r="L934" s="87">
        <f>TEXT(A934,"mmmm")</f>
        <v/>
      </c>
    </row>
    <row r="935">
      <c r="A935" s="60" t="n">
        <v>46192</v>
      </c>
      <c r="B935" s="60" t="n">
        <v>46195</v>
      </c>
      <c r="C935" s="60" t="n">
        <v>46198</v>
      </c>
      <c r="D935" s="87" t="inlineStr">
        <is>
          <t>ISMAEL PEREIRA DA SILVA</t>
        </is>
      </c>
      <c r="E935" s="87" t="inlineStr">
        <is>
          <t>Allianz</t>
        </is>
      </c>
      <c r="F935" s="87" t="inlineStr">
        <is>
          <t>John</t>
        </is>
      </c>
      <c r="G935" s="87" t="inlineStr">
        <is>
          <t>M</t>
        </is>
      </c>
      <c r="H935" s="78" t="n">
        <v>5511963230410</v>
      </c>
      <c r="I935" s="87" t="inlineStr">
        <is>
          <t>Renovação</t>
        </is>
      </c>
      <c r="J935" s="87" t="inlineStr">
        <is>
          <t>Assinado</t>
        </is>
      </c>
      <c r="K935" s="60" t="n">
        <v>46201</v>
      </c>
      <c r="L935" s="87">
        <f>TEXT(A935,"mmmm")</f>
        <v/>
      </c>
    </row>
    <row r="936">
      <c r="A936" s="60" t="n">
        <v>46192</v>
      </c>
      <c r="B936" s="60" t="n">
        <v>46195</v>
      </c>
      <c r="C936" s="60" t="n">
        <v>46198</v>
      </c>
      <c r="D936" s="87" t="inlineStr">
        <is>
          <t>HOZIANO VICENTE SANTIAGO DE FREITAS</t>
        </is>
      </c>
      <c r="E936" s="87" t="inlineStr">
        <is>
          <t>Porto</t>
        </is>
      </c>
      <c r="F936" s="87" t="inlineStr">
        <is>
          <t>John</t>
        </is>
      </c>
      <c r="G936" s="87" t="inlineStr">
        <is>
          <t>M</t>
        </is>
      </c>
      <c r="H936" s="78" t="n">
        <v>5511952987872</v>
      </c>
      <c r="I936" s="87" t="inlineStr">
        <is>
          <t>Renovação</t>
        </is>
      </c>
      <c r="J936" s="87" t="inlineStr">
        <is>
          <t>Na planilha</t>
        </is>
      </c>
      <c r="K936" s="60" t="n">
        <v>46201</v>
      </c>
      <c r="L936" s="87">
        <f>TEXT(A936,"mmmm")</f>
        <v/>
      </c>
    </row>
    <row r="937">
      <c r="A937" s="60" t="n">
        <v>46192</v>
      </c>
      <c r="B937" s="60" t="n">
        <v>46195</v>
      </c>
      <c r="C937" s="60" t="n">
        <v>46198</v>
      </c>
      <c r="D937" s="87" t="inlineStr">
        <is>
          <t>MARCOS ROBERTO MOREIRA</t>
        </is>
      </c>
      <c r="E937" s="87" t="inlineStr">
        <is>
          <t>Suhai</t>
        </is>
      </c>
      <c r="F937" s="87" t="inlineStr">
        <is>
          <t>John</t>
        </is>
      </c>
      <c r="G937" s="87" t="inlineStr">
        <is>
          <t>M</t>
        </is>
      </c>
      <c r="H937" s="78" t="n">
        <v>5511972923491</v>
      </c>
      <c r="I937" s="87" t="inlineStr">
        <is>
          <t>Novo</t>
        </is>
      </c>
      <c r="J937" s="87" t="inlineStr">
        <is>
          <t>Assinado</t>
        </is>
      </c>
      <c r="K937" s="60" t="n">
        <v>46201</v>
      </c>
      <c r="L937" s="87">
        <f>TEXT(A937,"mmmm")</f>
        <v/>
      </c>
    </row>
    <row r="938">
      <c r="A938" s="60" t="n">
        <v>46192</v>
      </c>
      <c r="B938" s="60" t="n">
        <v>46195</v>
      </c>
      <c r="C938" s="60" t="n">
        <v>46198</v>
      </c>
      <c r="D938" s="87" t="inlineStr">
        <is>
          <t>JORGE LUIZ DO NASCIMENTO VIANA</t>
        </is>
      </c>
      <c r="E938" s="87" t="inlineStr">
        <is>
          <t>Azul</t>
        </is>
      </c>
      <c r="F938" s="87" t="inlineStr">
        <is>
          <t>John</t>
        </is>
      </c>
      <c r="G938" s="87" t="inlineStr">
        <is>
          <t>M</t>
        </is>
      </c>
      <c r="H938" s="78" t="n">
        <v>5511947444733</v>
      </c>
      <c r="I938" s="87" t="inlineStr">
        <is>
          <t>Novo</t>
        </is>
      </c>
      <c r="J938" s="87" t="inlineStr">
        <is>
          <t>Assinado</t>
        </is>
      </c>
      <c r="K938" s="60" t="n">
        <v>46201</v>
      </c>
      <c r="L938" s="87">
        <f>TEXT(A938,"mmmm")</f>
        <v/>
      </c>
    </row>
    <row r="939">
      <c r="A939" s="60" t="n">
        <v>46195</v>
      </c>
      <c r="B939" s="60" t="n">
        <v>46198</v>
      </c>
      <c r="C939" s="60" t="n">
        <v>46201</v>
      </c>
      <c r="D939" s="87" t="inlineStr">
        <is>
          <t>FRANCISCO DOS SANTOS SILVA</t>
        </is>
      </c>
      <c r="E939" s="87" t="inlineStr">
        <is>
          <t>Tokio</t>
        </is>
      </c>
      <c r="F939" s="87" t="inlineStr">
        <is>
          <t>Isabella</t>
        </is>
      </c>
      <c r="G939" s="87" t="inlineStr">
        <is>
          <t>F</t>
        </is>
      </c>
      <c r="H939" s="78" t="n">
        <v>5511965651870</v>
      </c>
      <c r="I939" s="87" t="inlineStr">
        <is>
          <t>Renovação</t>
        </is>
      </c>
      <c r="J939" s="87" t="inlineStr">
        <is>
          <t>Assinado</t>
        </is>
      </c>
      <c r="K939" s="60" t="n">
        <v>46204</v>
      </c>
      <c r="L939" s="87">
        <f>TEXT(A939,"mmmm")</f>
        <v/>
      </c>
    </row>
    <row r="940">
      <c r="A940" s="60" t="n">
        <v>46195</v>
      </c>
      <c r="B940" s="60" t="n">
        <v>46198</v>
      </c>
      <c r="C940" s="60" t="n">
        <v>46201</v>
      </c>
      <c r="D940" s="87" t="inlineStr">
        <is>
          <t>DAVI PEREIRA DA COSTA</t>
        </is>
      </c>
      <c r="E940" s="87" t="inlineStr">
        <is>
          <t>Porto</t>
        </is>
      </c>
      <c r="F940" s="87" t="inlineStr">
        <is>
          <t>Leticia</t>
        </is>
      </c>
      <c r="G940" s="87" t="inlineStr">
        <is>
          <t>F</t>
        </is>
      </c>
      <c r="H940" s="78" t="n">
        <v>5511913174081</v>
      </c>
      <c r="I940" s="87" t="inlineStr">
        <is>
          <t>Novo</t>
        </is>
      </c>
      <c r="J940" s="87" t="inlineStr">
        <is>
          <t>Na planilha</t>
        </is>
      </c>
      <c r="K940" s="60" t="n">
        <v>46204</v>
      </c>
      <c r="L940" s="87">
        <f>TEXT(A940,"mmmm")</f>
        <v/>
      </c>
    </row>
    <row r="941">
      <c r="A941" s="60" t="n">
        <v>46195</v>
      </c>
      <c r="B941" s="60" t="n">
        <v>46198</v>
      </c>
      <c r="C941" s="60" t="n">
        <v>46201</v>
      </c>
      <c r="D941" s="87" t="inlineStr">
        <is>
          <t>ANTONIO JOSE DA LUZ FILHO</t>
        </is>
      </c>
      <c r="E941" s="87" t="inlineStr">
        <is>
          <t>Azul</t>
        </is>
      </c>
      <c r="F941" s="87" t="inlineStr">
        <is>
          <t>Isabella</t>
        </is>
      </c>
      <c r="G941" s="87" t="inlineStr">
        <is>
          <t>F</t>
        </is>
      </c>
      <c r="H941" s="78" t="n">
        <v>5511987318370</v>
      </c>
      <c r="I941" s="87" t="inlineStr">
        <is>
          <t>Novo</t>
        </is>
      </c>
      <c r="J941" s="87" t="inlineStr">
        <is>
          <t>Assinado</t>
        </is>
      </c>
      <c r="K941" s="60" t="n">
        <v>46204</v>
      </c>
      <c r="L941" s="87">
        <f>TEXT(A941,"mmmm")</f>
        <v/>
      </c>
    </row>
    <row r="942">
      <c r="A942" s="60" t="n">
        <v>46195</v>
      </c>
      <c r="B942" s="60" t="n">
        <v>46198</v>
      </c>
      <c r="C942" s="60" t="n">
        <v>46201</v>
      </c>
      <c r="D942" s="87" t="inlineStr">
        <is>
          <t>LEONIDAS DOS SANTOS SILVA</t>
        </is>
      </c>
      <c r="E942" s="87" t="inlineStr">
        <is>
          <t>Azul</t>
        </is>
      </c>
      <c r="F942" s="87" t="inlineStr">
        <is>
          <t>Jacqueline</t>
        </is>
      </c>
      <c r="G942" s="87" t="inlineStr">
        <is>
          <t>F</t>
        </is>
      </c>
      <c r="H942" s="78" t="n">
        <v>5519991904102</v>
      </c>
      <c r="I942" s="87" t="inlineStr">
        <is>
          <t>Novo</t>
        </is>
      </c>
      <c r="J942" s="87" t="inlineStr">
        <is>
          <t>Assinado</t>
        </is>
      </c>
      <c r="K942" s="60" t="n">
        <v>46204</v>
      </c>
      <c r="L942" s="87">
        <f>TEXT(A942,"mmmm")</f>
        <v/>
      </c>
    </row>
    <row r="943">
      <c r="A943" s="60" t="n">
        <v>46195</v>
      </c>
      <c r="B943" s="60" t="n">
        <v>46198</v>
      </c>
      <c r="C943" s="60" t="n">
        <v>46201</v>
      </c>
      <c r="D943" s="87" t="inlineStr">
        <is>
          <t>DEYMISON SILVA SANTOS</t>
        </is>
      </c>
      <c r="E943" s="87" t="inlineStr">
        <is>
          <t>Suhai</t>
        </is>
      </c>
      <c r="F943" s="87" t="inlineStr">
        <is>
          <t>John</t>
        </is>
      </c>
      <c r="G943" s="87" t="inlineStr">
        <is>
          <t>M</t>
        </is>
      </c>
      <c r="H943" s="78" t="n">
        <v>5511941653539</v>
      </c>
      <c r="I943" s="87" t="inlineStr">
        <is>
          <t>Novo</t>
        </is>
      </c>
      <c r="J943" s="87" t="inlineStr">
        <is>
          <t>Cancelado</t>
        </is>
      </c>
      <c r="K943" s="60" t="n">
        <v>46204</v>
      </c>
      <c r="L943" s="87">
        <f>TEXT(A943,"mmmm")</f>
        <v/>
      </c>
    </row>
    <row r="944">
      <c r="A944" s="60" t="n">
        <v>46195</v>
      </c>
      <c r="B944" s="60" t="n">
        <v>46198</v>
      </c>
      <c r="C944" s="60" t="n">
        <v>46201</v>
      </c>
      <c r="D944" s="87" t="inlineStr">
        <is>
          <t>ANDRE LUIS OUTEIRO PINTO</t>
        </is>
      </c>
      <c r="E944" s="87" t="inlineStr">
        <is>
          <t>Azul</t>
        </is>
      </c>
      <c r="F944" s="87" t="inlineStr">
        <is>
          <t>John</t>
        </is>
      </c>
      <c r="G944" s="87" t="inlineStr">
        <is>
          <t>M</t>
        </is>
      </c>
      <c r="H944" s="78" t="n">
        <v>5519991553006</v>
      </c>
      <c r="I944" s="87" t="inlineStr">
        <is>
          <t>Novo</t>
        </is>
      </c>
      <c r="J944" s="87" t="inlineStr">
        <is>
          <t>Assinado</t>
        </is>
      </c>
      <c r="K944" s="60" t="n">
        <v>46204</v>
      </c>
      <c r="L944" s="87">
        <f>TEXT(A944,"mmmm")</f>
        <v/>
      </c>
    </row>
    <row r="945">
      <c r="A945" s="60" t="n">
        <v>46195</v>
      </c>
      <c r="B945" s="60" t="n">
        <v>46198</v>
      </c>
      <c r="C945" s="60" t="n">
        <v>46201</v>
      </c>
      <c r="D945" s="87" t="inlineStr">
        <is>
          <t>RODRIGO DOS SANTOS VAZ</t>
        </is>
      </c>
      <c r="E945" s="87" t="inlineStr">
        <is>
          <t>Mapfre</t>
        </is>
      </c>
      <c r="F945" s="87" t="inlineStr">
        <is>
          <t>Leticia</t>
        </is>
      </c>
      <c r="G945" s="87" t="inlineStr">
        <is>
          <t>F</t>
        </is>
      </c>
      <c r="H945" s="78" t="n">
        <v>5514997011781</v>
      </c>
      <c r="I945" s="87" t="inlineStr">
        <is>
          <t>Novo</t>
        </is>
      </c>
      <c r="J945" s="87" t="inlineStr">
        <is>
          <t>Assinado</t>
        </is>
      </c>
      <c r="K945" s="60" t="n">
        <v>46204</v>
      </c>
      <c r="L945" s="87">
        <f>TEXT(A945,"mmmm")</f>
        <v/>
      </c>
    </row>
    <row r="946">
      <c r="A946" s="60" t="n">
        <v>46195</v>
      </c>
      <c r="B946" s="60" t="n">
        <v>46198</v>
      </c>
      <c r="C946" s="60" t="n">
        <v>46201</v>
      </c>
      <c r="D946" s="87" t="inlineStr">
        <is>
          <t>LUIZ FELIPE MALAQUIAS TAVARES</t>
        </is>
      </c>
      <c r="E946" s="87" t="inlineStr">
        <is>
          <t>Suhai</t>
        </is>
      </c>
      <c r="F946" s="87" t="inlineStr">
        <is>
          <t>Leticia</t>
        </is>
      </c>
      <c r="G946" s="87" t="inlineStr">
        <is>
          <t>F</t>
        </is>
      </c>
      <c r="H946" s="78" t="n">
        <v>5511993396277</v>
      </c>
      <c r="I946" s="87" t="inlineStr">
        <is>
          <t>Novo</t>
        </is>
      </c>
      <c r="J946" s="87" t="inlineStr">
        <is>
          <t>Na planilha</t>
        </is>
      </c>
      <c r="K946" s="60" t="n">
        <v>46204</v>
      </c>
      <c r="L946" s="87">
        <f>TEXT(A946,"mmmm")</f>
        <v/>
      </c>
    </row>
    <row r="947">
      <c r="A947" s="60" t="n">
        <v>46195</v>
      </c>
      <c r="B947" s="60" t="n">
        <v>46198</v>
      </c>
      <c r="C947" s="60" t="n">
        <v>46201</v>
      </c>
      <c r="D947" s="87" t="inlineStr">
        <is>
          <t>JOSE IRAN ALVES FERREIRA</t>
        </is>
      </c>
      <c r="E947" s="87" t="inlineStr">
        <is>
          <t>Azul</t>
        </is>
      </c>
      <c r="F947" s="87" t="inlineStr">
        <is>
          <t>Leticia</t>
        </is>
      </c>
      <c r="G947" s="87" t="inlineStr">
        <is>
          <t>F</t>
        </is>
      </c>
      <c r="H947" s="78" t="n">
        <v>5511973405938</v>
      </c>
      <c r="I947" s="87" t="inlineStr">
        <is>
          <t>Novo</t>
        </is>
      </c>
      <c r="J947" s="87" t="inlineStr">
        <is>
          <t>Assinado</t>
        </is>
      </c>
      <c r="K947" s="60" t="n">
        <v>46204</v>
      </c>
      <c r="L947" s="87">
        <f>TEXT(A947,"mmmm")</f>
        <v/>
      </c>
    </row>
    <row r="948">
      <c r="A948" s="60" t="n">
        <v>46196</v>
      </c>
      <c r="B948" s="60" t="n">
        <v>46199</v>
      </c>
      <c r="C948" s="60" t="n">
        <v>46202</v>
      </c>
      <c r="D948" s="87" t="inlineStr">
        <is>
          <t>JOAO VITOR CZERNUCHA PEREIRA</t>
        </is>
      </c>
      <c r="E948" s="87" t="inlineStr">
        <is>
          <t>Suhai</t>
        </is>
      </c>
      <c r="F948" s="87" t="inlineStr">
        <is>
          <t>John</t>
        </is>
      </c>
      <c r="G948" s="87" t="inlineStr">
        <is>
          <t>M</t>
        </is>
      </c>
      <c r="H948" s="78" t="n">
        <v>5511989970537</v>
      </c>
      <c r="I948" s="87" t="inlineStr">
        <is>
          <t>Novo</t>
        </is>
      </c>
      <c r="J948" s="87" t="inlineStr">
        <is>
          <t>Assinado</t>
        </is>
      </c>
      <c r="K948" s="60" t="n">
        <v>46205</v>
      </c>
      <c r="L948" s="87">
        <f>TEXT(A948,"mmmm")</f>
        <v/>
      </c>
    </row>
    <row r="949">
      <c r="A949" s="60" t="n">
        <v>46196</v>
      </c>
      <c r="B949" s="60" t="n">
        <v>46199</v>
      </c>
      <c r="C949" s="60" t="n">
        <v>46202</v>
      </c>
      <c r="D949" s="87" t="inlineStr">
        <is>
          <t>KATIA APARECIDA MEDEIROS ALVES GRILLO</t>
        </is>
      </c>
      <c r="E949" s="87" t="inlineStr">
        <is>
          <t>Azul</t>
        </is>
      </c>
      <c r="F949" s="87" t="inlineStr">
        <is>
          <t>John</t>
        </is>
      </c>
      <c r="G949" s="87" t="inlineStr">
        <is>
          <t>M</t>
        </is>
      </c>
      <c r="H949" s="78" t="n">
        <v>5515991844789</v>
      </c>
      <c r="I949" s="87" t="inlineStr">
        <is>
          <t>Novo</t>
        </is>
      </c>
      <c r="J949" s="87" t="inlineStr">
        <is>
          <t>Assinado</t>
        </is>
      </c>
      <c r="K949" s="60" t="n">
        <v>46205</v>
      </c>
      <c r="L949" s="87">
        <f>TEXT(A949,"mmmm")</f>
        <v/>
      </c>
    </row>
    <row r="950">
      <c r="A950" s="60" t="n">
        <v>46196</v>
      </c>
      <c r="B950" s="60" t="n">
        <v>46199</v>
      </c>
      <c r="C950" s="60" t="n">
        <v>46202</v>
      </c>
      <c r="D950" s="87" t="inlineStr">
        <is>
          <t>ADIR MAGNO BEXIGA PEREIRA</t>
        </is>
      </c>
      <c r="E950" s="87" t="inlineStr">
        <is>
          <t>Porto</t>
        </is>
      </c>
      <c r="F950" s="87" t="inlineStr">
        <is>
          <t>Jacqueline</t>
        </is>
      </c>
      <c r="G950" s="87" t="inlineStr">
        <is>
          <t>F</t>
        </is>
      </c>
      <c r="H950" s="78" t="n">
        <v>5543996433601</v>
      </c>
      <c r="I950" s="87" t="inlineStr">
        <is>
          <t>Novo</t>
        </is>
      </c>
      <c r="J950" s="87" t="inlineStr">
        <is>
          <t>Assinado</t>
        </is>
      </c>
      <c r="K950" s="60" t="n">
        <v>46205</v>
      </c>
      <c r="L950" s="87">
        <f>TEXT(A950,"mmmm")</f>
        <v/>
      </c>
    </row>
    <row r="951">
      <c r="A951" s="60" t="n">
        <v>46196</v>
      </c>
      <c r="B951" s="60" t="n">
        <v>46199</v>
      </c>
      <c r="C951" s="60" t="n">
        <v>46202</v>
      </c>
      <c r="D951" s="87" t="inlineStr">
        <is>
          <t>PATRICIA DELLA POSTA</t>
        </is>
      </c>
      <c r="E951" s="87" t="inlineStr">
        <is>
          <t>Tokio</t>
        </is>
      </c>
      <c r="F951" s="87" t="inlineStr">
        <is>
          <t>John</t>
        </is>
      </c>
      <c r="G951" s="87" t="inlineStr">
        <is>
          <t>M</t>
        </is>
      </c>
      <c r="H951" s="78" t="n">
        <v>5512997297433</v>
      </c>
      <c r="I951" s="87" t="inlineStr">
        <is>
          <t>Novo</t>
        </is>
      </c>
      <c r="J951" s="87" t="inlineStr">
        <is>
          <t>Assinado</t>
        </is>
      </c>
      <c r="K951" s="60" t="n">
        <v>46205</v>
      </c>
      <c r="L951" s="87">
        <f>TEXT(A951,"mmmm")</f>
        <v/>
      </c>
    </row>
    <row r="952">
      <c r="A952" s="60" t="n">
        <v>46197</v>
      </c>
      <c r="B952" s="60" t="n">
        <v>46200</v>
      </c>
      <c r="C952" s="60" t="n">
        <v>46203</v>
      </c>
      <c r="D952" s="87" t="inlineStr">
        <is>
          <t>ALESSANDRA APARECIDA MENDONCA LEITE</t>
        </is>
      </c>
      <c r="E952" s="87" t="inlineStr">
        <is>
          <t>Azul</t>
        </is>
      </c>
      <c r="F952" s="87" t="inlineStr">
        <is>
          <t>Leticia</t>
        </is>
      </c>
      <c r="G952" s="87" t="inlineStr">
        <is>
          <t>F</t>
        </is>
      </c>
      <c r="H952" s="78" t="n">
        <v>5511980795964</v>
      </c>
      <c r="I952" s="87" t="inlineStr">
        <is>
          <t>Novo</t>
        </is>
      </c>
      <c r="J952" s="87" t="inlineStr">
        <is>
          <t>Na planilha</t>
        </is>
      </c>
      <c r="K952" s="60" t="n">
        <v>46206</v>
      </c>
      <c r="L952" s="87">
        <f>TEXT(A952,"mmmm")</f>
        <v/>
      </c>
    </row>
    <row r="953">
      <c r="A953" s="60" t="n">
        <v>46197</v>
      </c>
      <c r="B953" s="60" t="n">
        <v>46200</v>
      </c>
      <c r="C953" s="60" t="n">
        <v>46203</v>
      </c>
      <c r="D953" s="87" t="inlineStr">
        <is>
          <t>RANGEL SILVA</t>
        </is>
      </c>
      <c r="E953" s="87" t="inlineStr">
        <is>
          <t>Mapfre</t>
        </is>
      </c>
      <c r="F953" s="87" t="inlineStr">
        <is>
          <t>Leticia</t>
        </is>
      </c>
      <c r="G953" s="87" t="inlineStr">
        <is>
          <t>F</t>
        </is>
      </c>
      <c r="H953" s="78" t="n">
        <v>5561996211765</v>
      </c>
      <c r="I953" s="87" t="inlineStr">
        <is>
          <t>Novo</t>
        </is>
      </c>
      <c r="J953" s="87" t="inlineStr">
        <is>
          <t>Assinado</t>
        </is>
      </c>
      <c r="K953" s="60" t="n">
        <v>46206</v>
      </c>
      <c r="L953" s="87">
        <f>TEXT(A953,"mmmm")</f>
        <v/>
      </c>
    </row>
    <row r="954">
      <c r="A954" s="60" t="n">
        <v>46197</v>
      </c>
      <c r="B954" s="60" t="n">
        <v>46200</v>
      </c>
      <c r="C954" s="60" t="n">
        <v>46203</v>
      </c>
      <c r="D954" s="87" t="inlineStr">
        <is>
          <t>FRANCISCO ANTONIO BENEVENUTTO PENTEADO</t>
        </is>
      </c>
      <c r="E954" s="87" t="inlineStr">
        <is>
          <t>Tokio</t>
        </is>
      </c>
      <c r="F954" s="87" t="inlineStr">
        <is>
          <t>Jéssica</t>
        </is>
      </c>
      <c r="G954" s="87" t="inlineStr">
        <is>
          <t>F</t>
        </is>
      </c>
      <c r="H954" s="75" t="n">
        <v>5511981474000</v>
      </c>
      <c r="I954" s="87" t="inlineStr">
        <is>
          <t>Novo</t>
        </is>
      </c>
      <c r="J954" s="87" t="inlineStr">
        <is>
          <t>Cancelado</t>
        </is>
      </c>
      <c r="K954" s="60" t="n">
        <v>46208</v>
      </c>
      <c r="L954" s="87">
        <f>TEXT(A954,"mmmm")</f>
        <v/>
      </c>
    </row>
    <row r="955">
      <c r="A955" s="60" t="n">
        <v>46197</v>
      </c>
      <c r="B955" s="60" t="n">
        <v>46200</v>
      </c>
      <c r="C955" s="60" t="n">
        <v>46203</v>
      </c>
      <c r="D955" s="87" t="inlineStr">
        <is>
          <t>EDMILSON DA COSTA SOUZA</t>
        </is>
      </c>
      <c r="E955" s="87" t="inlineStr">
        <is>
          <t>Suhai</t>
        </is>
      </c>
      <c r="F955" s="87" t="inlineStr">
        <is>
          <t>John</t>
        </is>
      </c>
      <c r="G955" s="87" t="inlineStr">
        <is>
          <t>M</t>
        </is>
      </c>
      <c r="H955" s="78" t="n">
        <v>5511969458072</v>
      </c>
      <c r="I955" s="87" t="inlineStr">
        <is>
          <t>Renovação</t>
        </is>
      </c>
      <c r="J955" s="87" t="inlineStr">
        <is>
          <t>Assinado</t>
        </is>
      </c>
      <c r="K955" s="60" t="n">
        <v>46206</v>
      </c>
      <c r="L955" s="87">
        <f>TEXT(A955,"mmmm")</f>
        <v/>
      </c>
    </row>
    <row r="956">
      <c r="A956" s="60" t="n">
        <v>46197</v>
      </c>
      <c r="B956" s="60" t="n">
        <v>46200</v>
      </c>
      <c r="C956" s="60" t="n">
        <v>46203</v>
      </c>
      <c r="D956" s="87" t="inlineStr">
        <is>
          <t>JOSE ROBERTO RIOS</t>
        </is>
      </c>
      <c r="E956" s="87" t="inlineStr">
        <is>
          <t>Tokio</t>
        </is>
      </c>
      <c r="F956" s="87" t="inlineStr">
        <is>
          <t>John</t>
        </is>
      </c>
      <c r="G956" s="87" t="inlineStr">
        <is>
          <t>M</t>
        </is>
      </c>
      <c r="H956" s="78" t="n">
        <v>5511981485921</v>
      </c>
      <c r="I956" s="87" t="inlineStr">
        <is>
          <t>Renovação</t>
        </is>
      </c>
      <c r="J956" s="87" t="inlineStr">
        <is>
          <t>Assinado</t>
        </is>
      </c>
      <c r="K956" s="60" t="n">
        <v>46206</v>
      </c>
      <c r="L956" s="87">
        <f>TEXT(A956,"mmmm")</f>
        <v/>
      </c>
    </row>
    <row r="957">
      <c r="A957" s="60" t="n">
        <v>46197</v>
      </c>
      <c r="B957" s="60" t="n">
        <v>46200</v>
      </c>
      <c r="C957" s="60" t="n">
        <v>46203</v>
      </c>
      <c r="D957" s="87" t="inlineStr">
        <is>
          <t>JOSE CARLOS FERNANDES DANTAS</t>
        </is>
      </c>
      <c r="E957" s="87" t="inlineStr">
        <is>
          <t>Suhai</t>
        </is>
      </c>
      <c r="F957" s="87" t="inlineStr">
        <is>
          <t>John</t>
        </is>
      </c>
      <c r="G957" s="87" t="inlineStr">
        <is>
          <t>M</t>
        </is>
      </c>
      <c r="H957" s="78" t="n">
        <v>5511987617036</v>
      </c>
      <c r="I957" s="87" t="inlineStr">
        <is>
          <t>Renovação</t>
        </is>
      </c>
      <c r="J957" s="87" t="inlineStr">
        <is>
          <t>Assinado</t>
        </is>
      </c>
      <c r="K957" s="60" t="n">
        <v>46206</v>
      </c>
      <c r="L957" s="87">
        <f>TEXT(A957,"mmmm")</f>
        <v/>
      </c>
    </row>
    <row r="958">
      <c r="A958" s="60" t="n">
        <v>46197</v>
      </c>
      <c r="B958" s="60" t="n">
        <v>46200</v>
      </c>
      <c r="C958" s="60" t="n">
        <v>46203</v>
      </c>
      <c r="D958" s="87" t="inlineStr">
        <is>
          <t>EDUARDO ROCHA</t>
        </is>
      </c>
      <c r="E958" s="87" t="inlineStr">
        <is>
          <t>Suhai</t>
        </is>
      </c>
      <c r="F958" s="87" t="inlineStr">
        <is>
          <t>John</t>
        </is>
      </c>
      <c r="G958" s="87" t="inlineStr">
        <is>
          <t>M</t>
        </is>
      </c>
      <c r="H958" s="78" t="n">
        <v>5511976170250</v>
      </c>
      <c r="I958" s="87" t="inlineStr">
        <is>
          <t>Renovação</t>
        </is>
      </c>
      <c r="J958" s="87" t="inlineStr">
        <is>
          <t>Assinado</t>
        </is>
      </c>
      <c r="K958" s="60" t="n">
        <v>46206</v>
      </c>
      <c r="L958" s="87">
        <f>TEXT(A958,"mmmm")</f>
        <v/>
      </c>
    </row>
    <row r="959">
      <c r="A959" s="60" t="n">
        <v>46197</v>
      </c>
      <c r="B959" s="60" t="n">
        <v>46200</v>
      </c>
      <c r="C959" s="60" t="n">
        <v>46203</v>
      </c>
      <c r="D959" s="87" t="inlineStr">
        <is>
          <t>NATALIA CRISTINA RUIZ</t>
        </is>
      </c>
      <c r="E959" s="87" t="inlineStr">
        <is>
          <t>Suhai</t>
        </is>
      </c>
      <c r="F959" s="87" t="inlineStr">
        <is>
          <t>Leticia</t>
        </is>
      </c>
      <c r="G959" s="87" t="inlineStr">
        <is>
          <t>F</t>
        </is>
      </c>
      <c r="H959" s="78" t="n">
        <v>5511947488885</v>
      </c>
      <c r="I959" s="87" t="inlineStr">
        <is>
          <t>Renovação</t>
        </is>
      </c>
      <c r="J959" s="87" t="inlineStr">
        <is>
          <t>Assinado</t>
        </is>
      </c>
      <c r="K959" s="60" t="n">
        <v>46206</v>
      </c>
      <c r="L959" s="87">
        <f>TEXT(A959,"mmmm")</f>
        <v/>
      </c>
    </row>
    <row r="960">
      <c r="A960" s="60" t="n">
        <v>46197</v>
      </c>
      <c r="B960" s="60" t="n">
        <v>46200</v>
      </c>
      <c r="C960" s="60" t="n">
        <v>46203</v>
      </c>
      <c r="D960" s="87" t="inlineStr">
        <is>
          <t>MARIA DOS PRAZERES DE MELO</t>
        </is>
      </c>
      <c r="E960" s="87" t="inlineStr">
        <is>
          <t>Tokio</t>
        </is>
      </c>
      <c r="F960" s="87" t="inlineStr">
        <is>
          <t>Leticia</t>
        </is>
      </c>
      <c r="G960" s="87" t="inlineStr">
        <is>
          <t>F</t>
        </is>
      </c>
      <c r="H960" s="78" t="n">
        <v>5511950773310</v>
      </c>
      <c r="I960" s="87" t="inlineStr">
        <is>
          <t>Renovação</t>
        </is>
      </c>
      <c r="J960" s="87" t="inlineStr">
        <is>
          <t>Erro</t>
        </is>
      </c>
      <c r="K960" s="60" t="n">
        <v>46206</v>
      </c>
      <c r="L960" s="87">
        <f>TEXT(A960,"mmmm")</f>
        <v/>
      </c>
    </row>
    <row r="961">
      <c r="A961" s="60" t="n">
        <v>46197</v>
      </c>
      <c r="B961" s="60" t="n">
        <v>46200</v>
      </c>
      <c r="C961" s="60" t="n">
        <v>46203</v>
      </c>
      <c r="D961" s="87" t="inlineStr">
        <is>
          <t>JOAO MOURA DA CRUZ</t>
        </is>
      </c>
      <c r="E961" s="87" t="inlineStr">
        <is>
          <t>Tokio</t>
        </is>
      </c>
      <c r="F961" s="87" t="inlineStr">
        <is>
          <t>John</t>
        </is>
      </c>
      <c r="G961" s="87" t="inlineStr">
        <is>
          <t>M</t>
        </is>
      </c>
      <c r="H961" s="78" t="n">
        <v>5511948735480</v>
      </c>
      <c r="I961" s="87" t="inlineStr">
        <is>
          <t>Renovação</t>
        </is>
      </c>
      <c r="J961" s="87" t="inlineStr">
        <is>
          <t>Assinado</t>
        </is>
      </c>
      <c r="K961" s="60" t="n">
        <v>46206</v>
      </c>
      <c r="L961" s="87">
        <f>TEXT(A961,"mmmm")</f>
        <v/>
      </c>
    </row>
    <row r="962">
      <c r="A962" s="60" t="n">
        <v>46197</v>
      </c>
      <c r="B962" s="60" t="n">
        <v>46200</v>
      </c>
      <c r="C962" s="60" t="n">
        <v>46203</v>
      </c>
      <c r="D962" s="87" t="inlineStr">
        <is>
          <t>PATRICIA VENI</t>
        </is>
      </c>
      <c r="E962" s="87" t="inlineStr">
        <is>
          <t>Suhai</t>
        </is>
      </c>
      <c r="F962" s="87" t="inlineStr">
        <is>
          <t>Isabella</t>
        </is>
      </c>
      <c r="G962" s="87" t="inlineStr">
        <is>
          <t>F</t>
        </is>
      </c>
      <c r="H962" s="78" t="n">
        <v>5511982181803</v>
      </c>
      <c r="I962" s="87" t="inlineStr">
        <is>
          <t>Novo</t>
        </is>
      </c>
      <c r="J962" s="87" t="inlineStr">
        <is>
          <t>Assinado</t>
        </is>
      </c>
      <c r="K962" s="60" t="n">
        <v>46206</v>
      </c>
      <c r="L962" s="87">
        <f>TEXT(A962,"mmmm")</f>
        <v/>
      </c>
    </row>
    <row r="963">
      <c r="A963" s="60" t="n">
        <v>46197</v>
      </c>
      <c r="B963" s="60" t="n">
        <v>46200</v>
      </c>
      <c r="C963" s="60" t="n">
        <v>46203</v>
      </c>
      <c r="D963" s="87" t="inlineStr">
        <is>
          <t>JOILSON ANTONIO DOS SANTOS</t>
        </is>
      </c>
      <c r="E963" s="87" t="inlineStr">
        <is>
          <t>Azul</t>
        </is>
      </c>
      <c r="F963" s="87" t="inlineStr">
        <is>
          <t>Isabella</t>
        </is>
      </c>
      <c r="G963" s="87" t="inlineStr">
        <is>
          <t>F</t>
        </is>
      </c>
      <c r="H963" s="78" t="n">
        <v>5511982224853</v>
      </c>
      <c r="I963" s="87" t="inlineStr">
        <is>
          <t>Novo</t>
        </is>
      </c>
      <c r="J963" s="87" t="inlineStr">
        <is>
          <t>Assinado</t>
        </is>
      </c>
      <c r="K963" s="60" t="n">
        <v>46206</v>
      </c>
      <c r="L963" s="87">
        <f>TEXT(A963,"mmmm")</f>
        <v/>
      </c>
    </row>
    <row r="964">
      <c r="A964" s="60" t="n">
        <v>46198</v>
      </c>
      <c r="B964" s="60" t="n">
        <v>46201</v>
      </c>
      <c r="C964" s="60" t="n">
        <v>46204</v>
      </c>
      <c r="D964" s="87" t="inlineStr">
        <is>
          <t>DJACIRA DOS SANTOS SILVA</t>
        </is>
      </c>
      <c r="E964" s="87" t="inlineStr">
        <is>
          <t>Azul</t>
        </is>
      </c>
      <c r="F964" s="87" t="inlineStr">
        <is>
          <t>Leticia</t>
        </is>
      </c>
      <c r="G964" s="87" t="inlineStr">
        <is>
          <t>F</t>
        </is>
      </c>
      <c r="H964" s="75" t="n">
        <v>5511975333117</v>
      </c>
      <c r="I964" s="87" t="inlineStr">
        <is>
          <t>Novo</t>
        </is>
      </c>
      <c r="J964" s="87" t="inlineStr">
        <is>
          <t>Assinado</t>
        </is>
      </c>
      <c r="K964" s="60" t="n">
        <v>46212</v>
      </c>
      <c r="L964" s="87">
        <f>TEXT(A964,"mmmm")</f>
        <v/>
      </c>
    </row>
    <row r="965">
      <c r="A965" s="60" t="n">
        <v>46198</v>
      </c>
      <c r="B965" s="60" t="n">
        <v>46201</v>
      </c>
      <c r="C965" s="60" t="n">
        <v>46204</v>
      </c>
      <c r="D965" s="87" t="inlineStr">
        <is>
          <t>ROSILFRAN DA SILVA COSTA</t>
        </is>
      </c>
      <c r="E965" s="87" t="inlineStr">
        <is>
          <t>Tokio</t>
        </is>
      </c>
      <c r="F965" s="87" t="inlineStr">
        <is>
          <t>John</t>
        </is>
      </c>
      <c r="G965" s="87" t="inlineStr">
        <is>
          <t>M</t>
        </is>
      </c>
      <c r="H965" s="78" t="n">
        <v>5511993401451</v>
      </c>
      <c r="I965" s="87" t="inlineStr">
        <is>
          <t>Novo</t>
        </is>
      </c>
      <c r="J965" s="87" t="inlineStr">
        <is>
          <t>Erro</t>
        </is>
      </c>
      <c r="K965" s="60" t="n">
        <v>46207</v>
      </c>
      <c r="L965" s="87">
        <f>TEXT(A965,"mmmm")</f>
        <v/>
      </c>
    </row>
    <row r="966">
      <c r="A966" s="60" t="n">
        <v>46199</v>
      </c>
      <c r="B966" s="60" t="n">
        <v>46202</v>
      </c>
      <c r="C966" s="60" t="n">
        <v>46205</v>
      </c>
      <c r="D966" s="87" t="inlineStr">
        <is>
          <t>JEAN DIAS GOMES</t>
        </is>
      </c>
      <c r="E966" s="87" t="inlineStr">
        <is>
          <t>Tokio</t>
        </is>
      </c>
      <c r="F966" s="87" t="inlineStr">
        <is>
          <t>Leticia</t>
        </is>
      </c>
      <c r="G966" s="87" t="inlineStr">
        <is>
          <t>F</t>
        </is>
      </c>
      <c r="H966" s="78" t="n">
        <v>5511979616434</v>
      </c>
      <c r="I966" s="87" t="inlineStr">
        <is>
          <t>Renovação</t>
        </is>
      </c>
      <c r="J966" s="87" t="inlineStr">
        <is>
          <t>Assinado</t>
        </is>
      </c>
      <c r="K966" s="60" t="n">
        <v>46208</v>
      </c>
      <c r="L966" s="87">
        <f>TEXT(A966,"mmmm")</f>
        <v/>
      </c>
    </row>
    <row r="967">
      <c r="A967" s="60" t="n">
        <v>46199</v>
      </c>
      <c r="B967" s="60" t="n">
        <v>46202</v>
      </c>
      <c r="C967" s="60" t="n">
        <v>46205</v>
      </c>
      <c r="D967" s="87" t="inlineStr">
        <is>
          <t>ADERSON SOARES LOPES</t>
        </is>
      </c>
      <c r="E967" s="87" t="inlineStr">
        <is>
          <t>Suhai</t>
        </is>
      </c>
      <c r="F967" s="87" t="inlineStr">
        <is>
          <t>Isabella</t>
        </is>
      </c>
      <c r="G967" s="87" t="inlineStr">
        <is>
          <t>F</t>
        </is>
      </c>
      <c r="H967" s="76" t="n">
        <v>5519978104439</v>
      </c>
      <c r="I967" s="87" t="inlineStr">
        <is>
          <t>Novo</t>
        </is>
      </c>
      <c r="J967" s="87" t="inlineStr">
        <is>
          <t>Na planilha</t>
        </is>
      </c>
      <c r="K967" s="60" t="n">
        <v>46208</v>
      </c>
      <c r="L967" s="87">
        <f>TEXT(A967,"mmmm")</f>
        <v/>
      </c>
    </row>
    <row r="968">
      <c r="A968" s="60" t="n">
        <v>46199</v>
      </c>
      <c r="B968" s="60" t="n">
        <v>46202</v>
      </c>
      <c r="C968" s="60" t="n">
        <v>46205</v>
      </c>
      <c r="D968" s="87" t="inlineStr">
        <is>
          <t>ROSENILDO SANTOS DE LIMA</t>
        </is>
      </c>
      <c r="E968" s="87" t="inlineStr">
        <is>
          <t>Azul</t>
        </is>
      </c>
      <c r="F968" s="87" t="inlineStr">
        <is>
          <t>Isabella</t>
        </is>
      </c>
      <c r="G968" s="87" t="inlineStr">
        <is>
          <t>F</t>
        </is>
      </c>
      <c r="H968" s="78" t="n">
        <v>5511959616083</v>
      </c>
      <c r="I968" s="87" t="inlineStr">
        <is>
          <t>Novo</t>
        </is>
      </c>
      <c r="J968" s="87" t="inlineStr">
        <is>
          <t>Assinado</t>
        </is>
      </c>
      <c r="K968" s="60" t="n">
        <v>46208</v>
      </c>
      <c r="L968" s="87">
        <f>TEXT(A968,"mmmm")</f>
        <v/>
      </c>
    </row>
    <row r="969">
      <c r="A969" s="60" t="n">
        <v>46199</v>
      </c>
      <c r="B969" s="60" t="n">
        <v>46202</v>
      </c>
      <c r="C969" s="60" t="n">
        <v>46205</v>
      </c>
      <c r="D969" s="87" t="inlineStr">
        <is>
          <t>RICARDO REIS BORGES</t>
        </is>
      </c>
      <c r="E969" s="87" t="inlineStr">
        <is>
          <t>Tokio</t>
        </is>
      </c>
      <c r="F969" s="87" t="inlineStr">
        <is>
          <t>John</t>
        </is>
      </c>
      <c r="G969" s="87" t="inlineStr">
        <is>
          <t>M</t>
        </is>
      </c>
      <c r="H969" s="78" t="n">
        <v>5516991241618</v>
      </c>
      <c r="I969" s="87" t="inlineStr">
        <is>
          <t>Novo</t>
        </is>
      </c>
      <c r="J969" s="87" t="inlineStr">
        <is>
          <t>Assinado</t>
        </is>
      </c>
      <c r="K969" s="60" t="n">
        <v>46208</v>
      </c>
      <c r="L969" s="87">
        <f>TEXT(A969,"mmmm")</f>
        <v/>
      </c>
    </row>
    <row r="970">
      <c r="A970" s="60" t="n">
        <v>46199</v>
      </c>
      <c r="B970" s="60" t="n">
        <v>46202</v>
      </c>
      <c r="C970" s="60" t="n">
        <v>46205</v>
      </c>
      <c r="D970" s="87" t="inlineStr">
        <is>
          <t>JACKSON DOUGLAS MARQUES SANTOS</t>
        </is>
      </c>
      <c r="E970" s="87" t="inlineStr">
        <is>
          <t>Suhai</t>
        </is>
      </c>
      <c r="F970" s="87" t="inlineStr">
        <is>
          <t>John</t>
        </is>
      </c>
      <c r="G970" s="87" t="inlineStr">
        <is>
          <t>M</t>
        </is>
      </c>
      <c r="H970" s="78" t="n">
        <v>5511960839682</v>
      </c>
      <c r="I970" s="87" t="inlineStr">
        <is>
          <t>Novo</t>
        </is>
      </c>
      <c r="J970" s="87" t="inlineStr">
        <is>
          <t>Na planilha</t>
        </is>
      </c>
      <c r="K970" s="60" t="n">
        <v>46208</v>
      </c>
      <c r="L970" s="87">
        <f>TEXT(A970,"mmmm")</f>
        <v/>
      </c>
    </row>
    <row r="971">
      <c r="A971" s="60" t="n">
        <v>46199</v>
      </c>
      <c r="B971" s="60" t="n">
        <v>46202</v>
      </c>
      <c r="C971" s="60" t="n">
        <v>46205</v>
      </c>
      <c r="D971" s="87" t="inlineStr">
        <is>
          <t>JOSE CARLOS PEREA</t>
        </is>
      </c>
      <c r="E971" s="87" t="inlineStr">
        <is>
          <t>Tokio</t>
        </is>
      </c>
      <c r="F971" s="87" t="inlineStr">
        <is>
          <t>John</t>
        </is>
      </c>
      <c r="G971" s="87" t="inlineStr">
        <is>
          <t>M</t>
        </is>
      </c>
      <c r="H971" s="78" t="n">
        <v>5514997737109</v>
      </c>
      <c r="I971" s="87" t="inlineStr">
        <is>
          <t>Renovação</t>
        </is>
      </c>
      <c r="J971" s="87" t="inlineStr">
        <is>
          <t>Assinado</t>
        </is>
      </c>
      <c r="K971" s="60" t="n">
        <v>46208</v>
      </c>
      <c r="L971" s="87">
        <f>TEXT(A971,"mmmm")</f>
        <v/>
      </c>
    </row>
    <row r="972">
      <c r="A972" s="60" t="n">
        <v>46199</v>
      </c>
      <c r="B972" s="60" t="n">
        <v>46202</v>
      </c>
      <c r="C972" s="60" t="n">
        <v>46205</v>
      </c>
      <c r="D972" s="87" t="inlineStr">
        <is>
          <t>NEUSA MARIA LISBOA</t>
        </is>
      </c>
      <c r="E972" s="87" t="inlineStr">
        <is>
          <t>Azul</t>
        </is>
      </c>
      <c r="F972" s="87" t="inlineStr">
        <is>
          <t>Jacqueline</t>
        </is>
      </c>
      <c r="G972" s="87" t="inlineStr">
        <is>
          <t>F</t>
        </is>
      </c>
      <c r="H972" s="78" t="n">
        <v>5511932370634</v>
      </c>
      <c r="I972" s="87" t="inlineStr">
        <is>
          <t>Novo</t>
        </is>
      </c>
      <c r="J972" s="87" t="inlineStr">
        <is>
          <t>Na planilha</t>
        </is>
      </c>
      <c r="K972" s="60" t="n">
        <v>46208</v>
      </c>
      <c r="L972" s="87">
        <f>TEXT(A972,"mmmm")</f>
        <v/>
      </c>
    </row>
    <row r="973">
      <c r="A973" s="60" t="n">
        <v>46199</v>
      </c>
      <c r="B973" s="60" t="n">
        <v>46202</v>
      </c>
      <c r="C973" s="60" t="n">
        <v>46205</v>
      </c>
      <c r="D973" s="87" t="inlineStr">
        <is>
          <t>DARCI DONIZETI DE MORAES</t>
        </is>
      </c>
      <c r="E973" s="87" t="inlineStr">
        <is>
          <t>Azul</t>
        </is>
      </c>
      <c r="F973" s="87" t="inlineStr">
        <is>
          <t>Isabella</t>
        </is>
      </c>
      <c r="G973" s="87" t="inlineStr">
        <is>
          <t>F</t>
        </is>
      </c>
      <c r="H973" s="78" t="n">
        <v>5511963966010</v>
      </c>
      <c r="I973" s="87" t="inlineStr">
        <is>
          <t>Novo</t>
        </is>
      </c>
      <c r="J973" s="87" t="inlineStr">
        <is>
          <t>Assinado</t>
        </is>
      </c>
      <c r="K973" s="60" t="n">
        <v>46208</v>
      </c>
      <c r="L973" s="87">
        <f>TEXT(A973,"mmmm")</f>
        <v/>
      </c>
    </row>
    <row r="974">
      <c r="A974" s="60" t="n">
        <v>46199</v>
      </c>
      <c r="B974" s="60" t="n">
        <v>46202</v>
      </c>
      <c r="C974" s="60" t="n">
        <v>46205</v>
      </c>
      <c r="D974" s="87" t="inlineStr">
        <is>
          <t>LUIZ ANTONIO GRETER</t>
        </is>
      </c>
      <c r="E974" s="87" t="inlineStr">
        <is>
          <t>Suhai</t>
        </is>
      </c>
      <c r="F974" s="87" t="inlineStr">
        <is>
          <t>Isabella</t>
        </is>
      </c>
      <c r="G974" s="87" t="inlineStr">
        <is>
          <t>F</t>
        </is>
      </c>
      <c r="H974" s="78" t="n">
        <v>5518997621000</v>
      </c>
      <c r="I974" s="87" t="inlineStr">
        <is>
          <t>Renovação</t>
        </is>
      </c>
      <c r="J974" s="87" t="inlineStr">
        <is>
          <t>Na planilha</t>
        </is>
      </c>
      <c r="K974" s="60" t="n">
        <v>46208</v>
      </c>
      <c r="L974" s="87">
        <f>TEXT(A974,"mmmm")</f>
        <v/>
      </c>
    </row>
    <row r="975">
      <c r="A975" s="60" t="n">
        <v>46199</v>
      </c>
      <c r="B975" s="60" t="n">
        <v>46202</v>
      </c>
      <c r="C975" s="60" t="n">
        <v>46205</v>
      </c>
      <c r="D975" s="87" t="inlineStr">
        <is>
          <t>MARCELO ANTONIO VALERETTO</t>
        </is>
      </c>
      <c r="E975" s="87" t="inlineStr">
        <is>
          <t>Tokio</t>
        </is>
      </c>
      <c r="F975" s="87" t="inlineStr">
        <is>
          <t>John</t>
        </is>
      </c>
      <c r="G975" s="87" t="inlineStr">
        <is>
          <t>M</t>
        </is>
      </c>
      <c r="H975" s="78" t="n">
        <v>5511952843108</v>
      </c>
      <c r="I975" s="87" t="inlineStr">
        <is>
          <t>Novo</t>
        </is>
      </c>
      <c r="J975" s="87" t="inlineStr">
        <is>
          <t>Na planilha</t>
        </is>
      </c>
      <c r="K975" s="60" t="n">
        <v>46208</v>
      </c>
      <c r="L975" s="87">
        <f>TEXT(A975,"mmmm")</f>
        <v/>
      </c>
    </row>
    <row r="976">
      <c r="A976" s="60" t="n">
        <v>46199</v>
      </c>
      <c r="B976" s="60" t="n">
        <v>46202</v>
      </c>
      <c r="C976" s="60" t="n">
        <v>46205</v>
      </c>
      <c r="D976" s="87" t="inlineStr">
        <is>
          <t>WALISON NASCIMENTO SALES</t>
        </is>
      </c>
      <c r="E976" s="87" t="inlineStr">
        <is>
          <t>Suhai</t>
        </is>
      </c>
      <c r="F976" s="87" t="inlineStr">
        <is>
          <t>John</t>
        </is>
      </c>
      <c r="G976" s="87" t="inlineStr">
        <is>
          <t>M</t>
        </is>
      </c>
      <c r="H976" s="78" t="n">
        <v>5511987740897</v>
      </c>
      <c r="I976" s="87" t="inlineStr">
        <is>
          <t>Novo</t>
        </is>
      </c>
      <c r="J976" s="87" t="inlineStr">
        <is>
          <t>Assinado</t>
        </is>
      </c>
      <c r="K976" s="60" t="n">
        <v>46208</v>
      </c>
      <c r="L976" s="87">
        <f>TEXT(A976,"mmmm")</f>
        <v/>
      </c>
    </row>
    <row r="977">
      <c r="A977" s="60" t="n">
        <v>46203</v>
      </c>
      <c r="B977" s="60" t="n">
        <v>46206</v>
      </c>
      <c r="C977" s="60" t="n">
        <v>46209</v>
      </c>
      <c r="D977" s="87" t="inlineStr">
        <is>
          <t>VALDEMIR DOS SANTOS DE SOUSA</t>
        </is>
      </c>
      <c r="E977" s="87" t="inlineStr">
        <is>
          <t>Tokio</t>
        </is>
      </c>
      <c r="F977" s="87" t="inlineStr">
        <is>
          <t>Jéssica</t>
        </is>
      </c>
      <c r="G977" s="87" t="inlineStr">
        <is>
          <t>F</t>
        </is>
      </c>
      <c r="H977" s="78" t="n">
        <v>5511968313947</v>
      </c>
      <c r="I977" s="87" t="inlineStr">
        <is>
          <t>Novo</t>
        </is>
      </c>
      <c r="J977" s="87" t="inlineStr">
        <is>
          <t>Assinado</t>
        </is>
      </c>
      <c r="K977" s="60" t="n">
        <v>46212</v>
      </c>
      <c r="L977" s="87">
        <f>TEXT(A977,"mmmm")</f>
        <v/>
      </c>
    </row>
    <row r="978">
      <c r="A978" s="60" t="n">
        <v>46203</v>
      </c>
      <c r="B978" s="60" t="n">
        <v>46206</v>
      </c>
      <c r="C978" s="60" t="n">
        <v>46209</v>
      </c>
      <c r="D978" s="87" t="inlineStr">
        <is>
          <t>DOUGLAS RABELO MARQUES</t>
        </is>
      </c>
      <c r="E978" s="87" t="inlineStr">
        <is>
          <t>Azul</t>
        </is>
      </c>
      <c r="F978" s="87" t="inlineStr">
        <is>
          <t>Jéssica</t>
        </is>
      </c>
      <c r="G978" s="87" t="inlineStr">
        <is>
          <t>F</t>
        </is>
      </c>
      <c r="H978" s="78" t="n">
        <v>5561982057318</v>
      </c>
      <c r="I978" s="87" t="inlineStr">
        <is>
          <t>Novo</t>
        </is>
      </c>
      <c r="J978" s="87" t="inlineStr">
        <is>
          <t>Assinado</t>
        </is>
      </c>
      <c r="K978" s="60" t="n">
        <v>46212</v>
      </c>
      <c r="L978" s="87">
        <f>TEXT(A978,"mmmm")</f>
        <v/>
      </c>
    </row>
    <row r="979">
      <c r="A979" s="60" t="n">
        <v>46203</v>
      </c>
      <c r="B979" s="60" t="n">
        <v>46206</v>
      </c>
      <c r="C979" s="60" t="n">
        <v>46209</v>
      </c>
      <c r="D979" s="87" t="inlineStr">
        <is>
          <t>RENATO BATISTA DOS SANTOS</t>
        </is>
      </c>
      <c r="E979" s="87" t="inlineStr">
        <is>
          <t>Azul</t>
        </is>
      </c>
      <c r="F979" s="87" t="inlineStr">
        <is>
          <t>Leticia</t>
        </is>
      </c>
      <c r="G979" s="87" t="inlineStr">
        <is>
          <t>F</t>
        </is>
      </c>
      <c r="H979" s="78" t="n">
        <v>5519994135803</v>
      </c>
      <c r="I979" s="87" t="inlineStr">
        <is>
          <t>Novo</t>
        </is>
      </c>
      <c r="J979" s="87" t="inlineStr">
        <is>
          <t>Assinado</t>
        </is>
      </c>
      <c r="K979" s="60" t="n">
        <v>46212</v>
      </c>
      <c r="L979" s="87">
        <f>TEXT(A979,"mmmm")</f>
        <v/>
      </c>
    </row>
    <row r="980">
      <c r="A980" s="60" t="n">
        <v>46203</v>
      </c>
      <c r="B980" s="60" t="n">
        <v>46206</v>
      </c>
      <c r="C980" s="60" t="n">
        <v>46209</v>
      </c>
      <c r="D980" s="87" t="inlineStr">
        <is>
          <t>JOSE VALMIR DE MOURA</t>
        </is>
      </c>
      <c r="E980" s="87" t="inlineStr">
        <is>
          <t>Porto</t>
        </is>
      </c>
      <c r="F980" s="87" t="inlineStr">
        <is>
          <t>John</t>
        </is>
      </c>
      <c r="G980" s="87" t="inlineStr">
        <is>
          <t>M</t>
        </is>
      </c>
      <c r="H980" s="78" t="n">
        <v>5511975730590</v>
      </c>
      <c r="I980" s="87" t="inlineStr">
        <is>
          <t>Novo</t>
        </is>
      </c>
      <c r="J980" s="87" t="inlineStr">
        <is>
          <t>Assinado</t>
        </is>
      </c>
      <c r="K980" s="60" t="n">
        <v>46212</v>
      </c>
      <c r="L980" s="87">
        <f>TEXT(A980,"mmmm")</f>
        <v/>
      </c>
    </row>
    <row r="981">
      <c r="A981" s="60" t="n">
        <v>46203</v>
      </c>
      <c r="B981" s="60" t="n">
        <v>46206</v>
      </c>
      <c r="C981" s="60" t="n">
        <v>46209</v>
      </c>
      <c r="D981" s="87" t="inlineStr">
        <is>
          <t>GABRIELA DE ALMEIDA CARMO</t>
        </is>
      </c>
      <c r="E981" s="87" t="inlineStr">
        <is>
          <t>Zurich</t>
        </is>
      </c>
      <c r="F981" s="87" t="inlineStr">
        <is>
          <t>Jacqueline</t>
        </is>
      </c>
      <c r="G981" s="87" t="inlineStr">
        <is>
          <t>F</t>
        </is>
      </c>
      <c r="H981" s="78" t="n">
        <v>5511958530614</v>
      </c>
      <c r="I981" s="87" t="inlineStr">
        <is>
          <t>Novo</t>
        </is>
      </c>
      <c r="J981" s="87" t="inlineStr">
        <is>
          <t>Assinado</t>
        </is>
      </c>
      <c r="K981" s="60" t="n">
        <v>46212</v>
      </c>
      <c r="L981" s="87">
        <f>TEXT(A981,"mmmm")</f>
        <v/>
      </c>
    </row>
    <row r="982">
      <c r="A982" s="60" t="n">
        <v>46203</v>
      </c>
      <c r="B982" s="60" t="n">
        <v>46206</v>
      </c>
      <c r="C982" s="60" t="n">
        <v>46209</v>
      </c>
      <c r="D982" s="87" t="inlineStr">
        <is>
          <t>ANA CAROLINA DA SILVEIRA NOTINI SIBUCS</t>
        </is>
      </c>
      <c r="E982" s="87" t="inlineStr">
        <is>
          <t>Azul</t>
        </is>
      </c>
      <c r="F982" s="87" t="inlineStr">
        <is>
          <t>Jacqueline</t>
        </is>
      </c>
      <c r="G982" s="87" t="inlineStr">
        <is>
          <t>F</t>
        </is>
      </c>
      <c r="H982" s="78" t="n">
        <v>5521998616725</v>
      </c>
      <c r="I982" s="87" t="inlineStr">
        <is>
          <t>Novo</t>
        </is>
      </c>
      <c r="J982" s="87" t="inlineStr">
        <is>
          <t>Assinado</t>
        </is>
      </c>
      <c r="K982" s="60" t="n">
        <v>46212</v>
      </c>
      <c r="L982" s="87">
        <f>TEXT(A982,"mmmm")</f>
        <v/>
      </c>
    </row>
    <row r="983">
      <c r="A983" s="60" t="n">
        <v>46203</v>
      </c>
      <c r="B983" s="60" t="n">
        <v>46206</v>
      </c>
      <c r="C983" s="60" t="n">
        <v>46209</v>
      </c>
      <c r="D983" s="87" t="inlineStr">
        <is>
          <t>RAFAEL LOCATI TEIXEIRA</t>
        </is>
      </c>
      <c r="E983" s="87" t="inlineStr">
        <is>
          <t>Suhai</t>
        </is>
      </c>
      <c r="F983" s="87" t="inlineStr">
        <is>
          <t>Leticia</t>
        </is>
      </c>
      <c r="G983" s="87" t="inlineStr">
        <is>
          <t>F</t>
        </is>
      </c>
      <c r="H983" s="78" t="n">
        <v>5511983101431</v>
      </c>
      <c r="I983" s="87" t="inlineStr">
        <is>
          <t>Novo</t>
        </is>
      </c>
      <c r="J983" s="87" t="inlineStr">
        <is>
          <t>Na planilha</t>
        </is>
      </c>
      <c r="K983" s="60" t="n">
        <v>46212</v>
      </c>
      <c r="L983" s="87">
        <f>TEXT(A983,"mmmm")</f>
        <v/>
      </c>
    </row>
    <row r="984">
      <c r="A984" s="60" t="n">
        <v>46203</v>
      </c>
      <c r="B984" s="60" t="n">
        <v>46206</v>
      </c>
      <c r="C984" s="60" t="n">
        <v>46209</v>
      </c>
      <c r="D984" s="87" t="inlineStr">
        <is>
          <t>JOSE IRAN ALVES FERREIRA</t>
        </is>
      </c>
      <c r="E984" s="87" t="inlineStr">
        <is>
          <t>Azul</t>
        </is>
      </c>
      <c r="F984" s="87" t="inlineStr">
        <is>
          <t>Leticia</t>
        </is>
      </c>
      <c r="G984" s="87" t="inlineStr">
        <is>
          <t>F</t>
        </is>
      </c>
      <c r="H984" s="78" t="n">
        <v>5511973405938</v>
      </c>
      <c r="I984" s="87" t="inlineStr">
        <is>
          <t>Novo</t>
        </is>
      </c>
      <c r="J984" s="87" t="inlineStr">
        <is>
          <t>Na planilha</t>
        </is>
      </c>
      <c r="K984" s="60" t="n">
        <v>46212</v>
      </c>
      <c r="L984" s="87">
        <f>TEXT(A984,"mmmm")</f>
        <v/>
      </c>
    </row>
    <row r="985">
      <c r="A985" s="60" t="n">
        <v>46203</v>
      </c>
      <c r="B985" s="60" t="n">
        <v>46206</v>
      </c>
      <c r="C985" s="60" t="n">
        <v>46209</v>
      </c>
      <c r="D985" s="87" t="inlineStr">
        <is>
          <t>GABRIELA DE ALMEIDA CARMO</t>
        </is>
      </c>
      <c r="E985" s="87" t="inlineStr">
        <is>
          <t>Zurich</t>
        </is>
      </c>
      <c r="F985" s="87" t="inlineStr">
        <is>
          <t>Jacqueline</t>
        </is>
      </c>
      <c r="G985" s="87" t="inlineStr">
        <is>
          <t>F</t>
        </is>
      </c>
      <c r="H985" s="78" t="n">
        <v>5511958530614</v>
      </c>
      <c r="I985" s="87" t="inlineStr">
        <is>
          <t>Novo</t>
        </is>
      </c>
      <c r="J985" s="87" t="inlineStr">
        <is>
          <t>Assinado</t>
        </is>
      </c>
      <c r="K985" s="60" t="n">
        <v>46212</v>
      </c>
      <c r="L985" s="87">
        <f>TEXT(A985,"mmmm")</f>
        <v/>
      </c>
    </row>
    <row r="986">
      <c r="A986" s="60" t="n">
        <v>46203</v>
      </c>
      <c r="B986" s="60" t="n">
        <v>46206</v>
      </c>
      <c r="C986" s="60" t="n">
        <v>46209</v>
      </c>
      <c r="D986" s="87" t="inlineStr">
        <is>
          <t>CLAUDIO ALEXANDRE BASTOS SANTOS</t>
        </is>
      </c>
      <c r="E986" s="87" t="inlineStr">
        <is>
          <t>Itaú</t>
        </is>
      </c>
      <c r="F986" s="87" t="inlineStr">
        <is>
          <t>Jacqueline</t>
        </is>
      </c>
      <c r="G986" s="87" t="inlineStr">
        <is>
          <t>F</t>
        </is>
      </c>
      <c r="H986" s="78" t="n">
        <v>5575992512463</v>
      </c>
      <c r="I986" s="87" t="inlineStr">
        <is>
          <t>Novo</t>
        </is>
      </c>
      <c r="J986" s="87" t="inlineStr">
        <is>
          <t>Na planilha</t>
        </is>
      </c>
      <c r="K986" s="60" t="n">
        <v>46212</v>
      </c>
      <c r="L986" s="87">
        <f>TEXT(A986,"mmmm")</f>
        <v/>
      </c>
    </row>
    <row r="987">
      <c r="A987" s="60" t="n">
        <v>46203</v>
      </c>
      <c r="B987" s="60" t="n">
        <v>46206</v>
      </c>
      <c r="C987" s="60" t="n">
        <v>46209</v>
      </c>
      <c r="D987" s="87" t="inlineStr">
        <is>
          <t>ALEXANDRE CONCEICAO BARBOSA</t>
        </is>
      </c>
      <c r="E987" s="87" t="inlineStr">
        <is>
          <t>Tokio</t>
        </is>
      </c>
      <c r="F987" s="87" t="inlineStr">
        <is>
          <t>Leticia</t>
        </is>
      </c>
      <c r="G987" s="87" t="inlineStr">
        <is>
          <t>F</t>
        </is>
      </c>
      <c r="H987" s="78" t="n">
        <v>5511984622306</v>
      </c>
      <c r="I987" s="87" t="inlineStr">
        <is>
          <t>Novo</t>
        </is>
      </c>
      <c r="J987" s="87" t="inlineStr">
        <is>
          <t>Assinado</t>
        </is>
      </c>
      <c r="K987" s="60" t="n">
        <v>46212</v>
      </c>
      <c r="L987" s="87">
        <f>TEXT(A987,"mmmm")</f>
        <v/>
      </c>
    </row>
    <row r="988">
      <c r="A988" s="60" t="n">
        <v>46204</v>
      </c>
      <c r="B988" s="60" t="n">
        <v>46207</v>
      </c>
      <c r="C988" s="60" t="n">
        <v>46210</v>
      </c>
      <c r="D988" s="87" t="inlineStr">
        <is>
          <t>JANICE MARTINS DE ALMEIDA</t>
        </is>
      </c>
      <c r="E988" s="87" t="inlineStr">
        <is>
          <t>Porto</t>
        </is>
      </c>
      <c r="F988" s="87" t="inlineStr">
        <is>
          <t>John</t>
        </is>
      </c>
      <c r="G988" s="87" t="inlineStr">
        <is>
          <t>M</t>
        </is>
      </c>
      <c r="H988" s="78" t="n">
        <v>5511981869962</v>
      </c>
      <c r="I988" s="87" t="inlineStr">
        <is>
          <t>Renovação</t>
        </is>
      </c>
      <c r="J988" s="87" t="inlineStr">
        <is>
          <t>Assinado</t>
        </is>
      </c>
      <c r="K988" s="60" t="n">
        <v>46213</v>
      </c>
      <c r="L988" s="87">
        <f>TEXT(A988,"mmmm")</f>
        <v/>
      </c>
    </row>
    <row r="989">
      <c r="A989" s="60" t="n">
        <v>46204</v>
      </c>
      <c r="B989" s="60" t="n">
        <v>46207</v>
      </c>
      <c r="C989" s="60" t="n">
        <v>46210</v>
      </c>
      <c r="D989" s="87" t="inlineStr">
        <is>
          <t>MARCOS RIBEIRO SUPPI</t>
        </is>
      </c>
      <c r="E989" s="87" t="inlineStr">
        <is>
          <t>Suhai</t>
        </is>
      </c>
      <c r="F989" s="87" t="inlineStr">
        <is>
          <t>John</t>
        </is>
      </c>
      <c r="G989" s="87" t="inlineStr">
        <is>
          <t>M</t>
        </is>
      </c>
      <c r="H989" s="78" t="n">
        <v>5512981828361</v>
      </c>
      <c r="I989" s="87" t="inlineStr">
        <is>
          <t>Novo</t>
        </is>
      </c>
      <c r="J989" s="87" t="inlineStr">
        <is>
          <t>Assinado</t>
        </is>
      </c>
      <c r="K989" s="60" t="n">
        <v>46213</v>
      </c>
      <c r="L989" s="87">
        <f>TEXT(A989,"mmmm")</f>
        <v/>
      </c>
    </row>
    <row r="990">
      <c r="A990" s="60" t="n">
        <v>46204</v>
      </c>
      <c r="B990" s="60" t="n">
        <v>46207</v>
      </c>
      <c r="C990" s="60" t="n">
        <v>46210</v>
      </c>
      <c r="D990" s="87" t="inlineStr">
        <is>
          <t>ANA LUIZA AFFONSO CARDOSO</t>
        </is>
      </c>
      <c r="E990" s="87" t="inlineStr">
        <is>
          <t>Porto</t>
        </is>
      </c>
      <c r="F990" s="87" t="inlineStr">
        <is>
          <t>John</t>
        </is>
      </c>
      <c r="G990" s="87" t="inlineStr">
        <is>
          <t>M</t>
        </is>
      </c>
      <c r="H990" s="78" t="n">
        <v>5511984621026</v>
      </c>
      <c r="I990" s="87" t="inlineStr">
        <is>
          <t>Renovação</t>
        </is>
      </c>
      <c r="J990" s="87" t="inlineStr">
        <is>
          <t>Assinado</t>
        </is>
      </c>
      <c r="K990" s="60" t="n">
        <v>46213</v>
      </c>
      <c r="L990" s="87">
        <f>TEXT(A990,"mmmm")</f>
        <v/>
      </c>
    </row>
    <row r="991">
      <c r="A991" s="60" t="n">
        <v>46204</v>
      </c>
      <c r="B991" s="60" t="n">
        <v>46207</v>
      </c>
      <c r="C991" s="60" t="n">
        <v>46210</v>
      </c>
      <c r="D991" s="87" t="inlineStr">
        <is>
          <t>MARCELO PERPETUO ALVES</t>
        </is>
      </c>
      <c r="E991" s="87" t="inlineStr">
        <is>
          <t>Porto</t>
        </is>
      </c>
      <c r="F991" s="87" t="inlineStr">
        <is>
          <t>John</t>
        </is>
      </c>
      <c r="G991" s="87" t="inlineStr">
        <is>
          <t>M</t>
        </is>
      </c>
      <c r="H991" s="78" t="n">
        <v>5517996052286</v>
      </c>
      <c r="I991" s="87" t="inlineStr">
        <is>
          <t>Novo</t>
        </is>
      </c>
      <c r="J991" s="87" t="inlineStr">
        <is>
          <t>Assinado</t>
        </is>
      </c>
      <c r="K991" s="60" t="n">
        <v>46213</v>
      </c>
      <c r="L991" s="87">
        <f>TEXT(A991,"mmmm")</f>
        <v/>
      </c>
    </row>
    <row r="992">
      <c r="A992" s="60" t="n">
        <v>46204</v>
      </c>
      <c r="B992" s="60" t="n">
        <v>46207</v>
      </c>
      <c r="C992" s="60" t="n">
        <v>46210</v>
      </c>
      <c r="D992" s="87" t="inlineStr">
        <is>
          <t>SAMANTHA DA CRUZ BEZERRA DE SOUZA</t>
        </is>
      </c>
      <c r="E992" s="87" t="inlineStr">
        <is>
          <t>Suhai</t>
        </is>
      </c>
      <c r="F992" s="87" t="inlineStr">
        <is>
          <t>John</t>
        </is>
      </c>
      <c r="G992" s="87" t="inlineStr">
        <is>
          <t>M</t>
        </is>
      </c>
      <c r="H992" s="78" t="n">
        <v>5511952388687</v>
      </c>
      <c r="I992" s="87" t="inlineStr">
        <is>
          <t>Novo</t>
        </is>
      </c>
      <c r="J992" s="87" t="inlineStr">
        <is>
          <t>Na planilha</t>
        </is>
      </c>
      <c r="K992" s="60" t="n">
        <v>46213</v>
      </c>
      <c r="L992" s="87">
        <f>TEXT(A992,"mmmm")</f>
        <v/>
      </c>
    </row>
    <row r="993">
      <c r="A993" s="60" t="n">
        <v>46204</v>
      </c>
      <c r="B993" s="60" t="n">
        <v>46207</v>
      </c>
      <c r="C993" s="60" t="n">
        <v>46210</v>
      </c>
      <c r="D993" s="87" t="inlineStr">
        <is>
          <t>MARCIO PEREIRA CABECA</t>
        </is>
      </c>
      <c r="E993" s="87" t="inlineStr">
        <is>
          <t>Allianz</t>
        </is>
      </c>
      <c r="F993" s="87" t="inlineStr">
        <is>
          <t>John</t>
        </is>
      </c>
      <c r="G993" s="87" t="inlineStr">
        <is>
          <t>M</t>
        </is>
      </c>
      <c r="H993" s="78" t="n">
        <v>5511940512041</v>
      </c>
      <c r="I993" s="87" t="inlineStr">
        <is>
          <t>Novo</t>
        </is>
      </c>
      <c r="J993" s="87" t="inlineStr">
        <is>
          <t>Assinado(manual)</t>
        </is>
      </c>
      <c r="K993" s="60" t="n">
        <v>46213</v>
      </c>
      <c r="L993" s="87">
        <f>TEXT(A993,"mmmm")</f>
        <v/>
      </c>
    </row>
    <row r="994">
      <c r="A994" s="60" t="n">
        <v>46204</v>
      </c>
      <c r="B994" s="60" t="n">
        <v>46207</v>
      </c>
      <c r="C994" s="60" t="n">
        <v>46210</v>
      </c>
      <c r="D994" s="87" t="inlineStr">
        <is>
          <t>JOSE LEANDRO NICOLAU</t>
        </is>
      </c>
      <c r="E994" s="87" t="inlineStr">
        <is>
          <t>Porto</t>
        </is>
      </c>
      <c r="F994" s="87" t="inlineStr">
        <is>
          <t>Myrelle</t>
        </is>
      </c>
      <c r="G994" s="87" t="inlineStr">
        <is>
          <t>F</t>
        </is>
      </c>
      <c r="H994" s="78" t="n">
        <v>5519992933799</v>
      </c>
      <c r="I994" s="87" t="inlineStr">
        <is>
          <t>Novo</t>
        </is>
      </c>
      <c r="J994" s="87" t="inlineStr">
        <is>
          <t>Assinado</t>
        </is>
      </c>
      <c r="K994" s="60" t="n">
        <v>46213</v>
      </c>
      <c r="L994" s="87">
        <f>TEXT(A994,"mmmm")</f>
        <v/>
      </c>
    </row>
    <row r="995">
      <c r="A995" s="60" t="n">
        <v>46204</v>
      </c>
      <c r="B995" s="60" t="n">
        <v>46207</v>
      </c>
      <c r="C995" s="60" t="n">
        <v>46210</v>
      </c>
      <c r="D995" s="87" t="inlineStr">
        <is>
          <t>ALEX SANDRO DIAS DA SILVA</t>
        </is>
      </c>
      <c r="E995" s="87" t="inlineStr">
        <is>
          <t>Azul</t>
        </is>
      </c>
      <c r="F995" s="87" t="inlineStr">
        <is>
          <t>Isabella</t>
        </is>
      </c>
      <c r="G995" s="87" t="inlineStr">
        <is>
          <t>F</t>
        </is>
      </c>
      <c r="H995" s="78" t="n">
        <v>5511970176418</v>
      </c>
      <c r="I995" s="87" t="inlineStr">
        <is>
          <t>Novo</t>
        </is>
      </c>
      <c r="J995" s="87" t="inlineStr">
        <is>
          <t>Assinado</t>
        </is>
      </c>
      <c r="K995" s="60" t="n">
        <v>46213</v>
      </c>
      <c r="L995" s="87">
        <f>TEXT(A995,"mmmm")</f>
        <v/>
      </c>
    </row>
    <row r="996">
      <c r="A996" s="60" t="n">
        <v>46204</v>
      </c>
      <c r="B996" s="60" t="n">
        <v>46207</v>
      </c>
      <c r="C996" s="60" t="n">
        <v>46210</v>
      </c>
      <c r="D996" s="87" t="inlineStr">
        <is>
          <t>GIVALDO DE OLIVEIRA MELO</t>
        </is>
      </c>
      <c r="E996" s="87" t="inlineStr">
        <is>
          <t>Tokio</t>
        </is>
      </c>
      <c r="F996" s="87" t="inlineStr">
        <is>
          <t>Isabella</t>
        </is>
      </c>
      <c r="G996" s="87" t="inlineStr">
        <is>
          <t>F</t>
        </is>
      </c>
      <c r="H996" s="78" t="n">
        <v>5519984428601</v>
      </c>
      <c r="I996" s="87" t="inlineStr">
        <is>
          <t>Novo</t>
        </is>
      </c>
      <c r="J996" s="87" t="inlineStr">
        <is>
          <t>Assinado</t>
        </is>
      </c>
      <c r="K996" s="60" t="n">
        <v>46213</v>
      </c>
      <c r="L996" s="87">
        <f>TEXT(A996,"mmmm")</f>
        <v/>
      </c>
    </row>
    <row r="997">
      <c r="A997" s="60" t="n">
        <v>46204</v>
      </c>
      <c r="B997" s="60" t="n">
        <v>46207</v>
      </c>
      <c r="C997" s="60" t="n">
        <v>46210</v>
      </c>
      <c r="D997" s="87" t="inlineStr">
        <is>
          <t>SELMA CRISTINA ANTUNES DE OLIVEIRA</t>
        </is>
      </c>
      <c r="E997" s="87" t="inlineStr">
        <is>
          <t>Azul</t>
        </is>
      </c>
      <c r="F997" s="87" t="inlineStr">
        <is>
          <t>Myrelle</t>
        </is>
      </c>
      <c r="G997" s="87" t="inlineStr">
        <is>
          <t>F</t>
        </is>
      </c>
      <c r="H997" s="78" t="n">
        <v>5512997240858</v>
      </c>
      <c r="I997" s="87" t="inlineStr">
        <is>
          <t>Novo</t>
        </is>
      </c>
      <c r="J997" s="87" t="inlineStr">
        <is>
          <t>Assinado</t>
        </is>
      </c>
      <c r="K997" s="60" t="n">
        <v>46213</v>
      </c>
      <c r="L997" s="87">
        <f>TEXT(A997,"mmmm")</f>
        <v/>
      </c>
    </row>
    <row r="998">
      <c r="A998" s="60" t="n">
        <v>46204</v>
      </c>
      <c r="B998" s="60" t="n">
        <v>46207</v>
      </c>
      <c r="C998" s="60" t="n">
        <v>46210</v>
      </c>
      <c r="D998" s="87" t="inlineStr">
        <is>
          <t>WASHINGTON PEREIRA</t>
        </is>
      </c>
      <c r="E998" s="87" t="inlineStr">
        <is>
          <t>Porto</t>
        </is>
      </c>
      <c r="F998" s="87" t="inlineStr">
        <is>
          <t>John</t>
        </is>
      </c>
      <c r="G998" s="87" t="inlineStr">
        <is>
          <t>M</t>
        </is>
      </c>
      <c r="H998" s="78" t="n">
        <v>5511999110016</v>
      </c>
      <c r="I998" s="87" t="inlineStr">
        <is>
          <t>Novo</t>
        </is>
      </c>
      <c r="J998" s="87" t="inlineStr">
        <is>
          <t>Assinado</t>
        </is>
      </c>
      <c r="K998" s="60" t="n">
        <v>46213</v>
      </c>
      <c r="L998" s="87">
        <f>TEXT(A998,"mmmm")</f>
        <v/>
      </c>
    </row>
    <row r="999">
      <c r="A999" s="60" t="n">
        <v>46205</v>
      </c>
      <c r="B999" s="60" t="n">
        <v>46208</v>
      </c>
      <c r="C999" s="60" t="n">
        <v>46211</v>
      </c>
      <c r="D999" s="87" t="inlineStr">
        <is>
          <t>GUILHERME MARTINS CHAVENCO</t>
        </is>
      </c>
      <c r="E999" s="87" t="inlineStr">
        <is>
          <t>Azul</t>
        </is>
      </c>
      <c r="F999" s="87" t="inlineStr">
        <is>
          <t>Jacqueline</t>
        </is>
      </c>
      <c r="G999" s="87" t="inlineStr">
        <is>
          <t>F</t>
        </is>
      </c>
      <c r="H999" s="78" t="n">
        <v>5511985596245</v>
      </c>
      <c r="I999" s="87" t="inlineStr">
        <is>
          <t>Novo</t>
        </is>
      </c>
      <c r="J999" s="87" t="inlineStr">
        <is>
          <t>Assinado</t>
        </is>
      </c>
      <c r="K999" s="60" t="n">
        <v>46214</v>
      </c>
      <c r="L999" s="87">
        <f>TEXT(A999,"mmmm")</f>
        <v/>
      </c>
    </row>
    <row r="1000">
      <c r="A1000" s="60" t="n">
        <v>46205</v>
      </c>
      <c r="B1000" s="60" t="n">
        <v>46208</v>
      </c>
      <c r="C1000" s="60" t="n">
        <v>46211</v>
      </c>
      <c r="D1000" s="87" t="inlineStr">
        <is>
          <t>JAIME ANTUNES DE SOUZA</t>
        </is>
      </c>
      <c r="E1000" s="87" t="inlineStr">
        <is>
          <t>Suhai</t>
        </is>
      </c>
      <c r="F1000" s="87" t="inlineStr">
        <is>
          <t>Myrelle</t>
        </is>
      </c>
      <c r="G1000" s="87" t="inlineStr">
        <is>
          <t>F</t>
        </is>
      </c>
      <c r="H1000" s="78" t="n">
        <v>5519935059084</v>
      </c>
      <c r="I1000" s="87" t="inlineStr">
        <is>
          <t>Novo</t>
        </is>
      </c>
      <c r="J1000" s="87" t="inlineStr">
        <is>
          <t>Assinado</t>
        </is>
      </c>
      <c r="K1000" s="60" t="n">
        <v>46214</v>
      </c>
      <c r="L1000" s="87">
        <f>TEXT(A1000,"mmmm")</f>
        <v/>
      </c>
    </row>
    <row r="1001">
      <c r="A1001" s="60" t="n">
        <v>46205</v>
      </c>
      <c r="B1001" s="60" t="n">
        <v>46208</v>
      </c>
      <c r="C1001" s="60" t="n">
        <v>46211</v>
      </c>
      <c r="D1001" s="87" t="inlineStr">
        <is>
          <t>LUCAS GABRIEL SANTANA DOS SANTOS</t>
        </is>
      </c>
      <c r="E1001" s="87" t="inlineStr">
        <is>
          <t>Suhai</t>
        </is>
      </c>
      <c r="F1001" s="87" t="inlineStr">
        <is>
          <t>Leticia</t>
        </is>
      </c>
      <c r="G1001" s="87" t="inlineStr">
        <is>
          <t>F</t>
        </is>
      </c>
      <c r="H1001" s="78" t="n">
        <v>5511998603026</v>
      </c>
      <c r="I1001" s="87" t="inlineStr">
        <is>
          <t>Novo</t>
        </is>
      </c>
      <c r="J1001" s="87" t="inlineStr">
        <is>
          <t>Assinado</t>
        </is>
      </c>
      <c r="K1001" s="60" t="n">
        <v>46214</v>
      </c>
      <c r="L1001" s="87">
        <f>TEXT(A1001,"mmmm")</f>
        <v/>
      </c>
    </row>
    <row r="1002">
      <c r="A1002" s="60" t="n">
        <v>46205</v>
      </c>
      <c r="B1002" s="60" t="n">
        <v>46208</v>
      </c>
      <c r="C1002" s="60" t="n">
        <v>46211</v>
      </c>
      <c r="D1002" s="87" t="inlineStr">
        <is>
          <t>EDIVALDO VICENTE DA SILVA</t>
        </is>
      </c>
      <c r="E1002" s="87" t="inlineStr">
        <is>
          <t>Tokio</t>
        </is>
      </c>
      <c r="F1002" s="87" t="inlineStr">
        <is>
          <t>John</t>
        </is>
      </c>
      <c r="G1002" s="87" t="inlineStr">
        <is>
          <t>M</t>
        </is>
      </c>
      <c r="H1002" s="78" t="n">
        <v>5511962437321</v>
      </c>
      <c r="I1002" s="87" t="inlineStr">
        <is>
          <t>Novo</t>
        </is>
      </c>
      <c r="J1002" s="87" t="inlineStr">
        <is>
          <t>Na planilha</t>
        </is>
      </c>
      <c r="K1002" s="60" t="n">
        <v>46214</v>
      </c>
      <c r="L1002" s="87">
        <f>TEXT(A1002,"mmmm")</f>
        <v/>
      </c>
    </row>
    <row r="1003">
      <c r="A1003" s="60" t="n">
        <v>46205</v>
      </c>
      <c r="B1003" s="60" t="n">
        <v>46208</v>
      </c>
      <c r="C1003" s="60" t="n">
        <v>46211</v>
      </c>
      <c r="D1003" s="87" t="inlineStr">
        <is>
          <t>ELISANDRA RODRIGUES DA SILVA PAIM REIS</t>
        </is>
      </c>
      <c r="E1003" s="87" t="inlineStr">
        <is>
          <t>Azul</t>
        </is>
      </c>
      <c r="F1003" s="87" t="inlineStr">
        <is>
          <t>John</t>
        </is>
      </c>
      <c r="G1003" s="87" t="inlineStr">
        <is>
          <t>M</t>
        </is>
      </c>
      <c r="H1003" s="78" t="n">
        <v>5511983636718</v>
      </c>
      <c r="I1003" s="87" t="inlineStr">
        <is>
          <t>Novo</t>
        </is>
      </c>
      <c r="J1003" s="87" t="inlineStr">
        <is>
          <t>Assinado</t>
        </is>
      </c>
      <c r="K1003" s="60" t="n">
        <v>46214</v>
      </c>
      <c r="L1003" s="87">
        <f>TEXT(A1003,"mmmm")</f>
        <v/>
      </c>
    </row>
    <row r="1004">
      <c r="A1004" s="60" t="n">
        <v>46205</v>
      </c>
      <c r="B1004" s="60" t="n">
        <v>46208</v>
      </c>
      <c r="C1004" s="60" t="n">
        <v>46211</v>
      </c>
      <c r="D1004" s="87" t="inlineStr">
        <is>
          <t>RENATO GERMANO GOMES DA SILVA</t>
        </is>
      </c>
      <c r="E1004" s="87" t="inlineStr">
        <is>
          <t>Itaú</t>
        </is>
      </c>
      <c r="F1004" s="87" t="inlineStr">
        <is>
          <t>John</t>
        </is>
      </c>
      <c r="G1004" s="87" t="inlineStr">
        <is>
          <t>M</t>
        </is>
      </c>
      <c r="H1004" s="78" t="n">
        <v>5511968715266</v>
      </c>
      <c r="I1004" s="87" t="inlineStr">
        <is>
          <t>Novo</t>
        </is>
      </c>
      <c r="J1004" s="87" t="inlineStr">
        <is>
          <t>Assinado</t>
        </is>
      </c>
      <c r="K1004" s="60" t="n">
        <v>46214</v>
      </c>
      <c r="L1004" s="87">
        <f>TEXT(A1004,"mmmm")</f>
        <v/>
      </c>
    </row>
    <row r="1005">
      <c r="A1005" s="60" t="n">
        <v>46205</v>
      </c>
      <c r="B1005" s="60" t="n">
        <v>46208</v>
      </c>
      <c r="C1005" s="60" t="n">
        <v>46211</v>
      </c>
      <c r="D1005" s="87" t="inlineStr">
        <is>
          <t>ANTONIO CARLOS SANTOS OLIVEIRA</t>
        </is>
      </c>
      <c r="E1005" s="87" t="inlineStr">
        <is>
          <t>Tokio</t>
        </is>
      </c>
      <c r="F1005" s="87" t="inlineStr">
        <is>
          <t>Isabella</t>
        </is>
      </c>
      <c r="G1005" s="87" t="inlineStr">
        <is>
          <t>F</t>
        </is>
      </c>
      <c r="H1005" s="78" t="n">
        <v>5511988208411</v>
      </c>
      <c r="I1005" s="87" t="inlineStr">
        <is>
          <t>Novo</t>
        </is>
      </c>
      <c r="J1005" s="87" t="inlineStr">
        <is>
          <t>Assinado</t>
        </is>
      </c>
      <c r="K1005" s="60" t="n">
        <v>46214</v>
      </c>
      <c r="L1005" s="87">
        <f>TEXT(A1005,"mmmm")</f>
        <v/>
      </c>
    </row>
    <row r="1006">
      <c r="A1006" s="60" t="n">
        <v>46205</v>
      </c>
      <c r="B1006" s="60" t="n">
        <v>46208</v>
      </c>
      <c r="C1006" s="60" t="n">
        <v>46211</v>
      </c>
      <c r="D1006" s="87" t="inlineStr">
        <is>
          <t>REINALDO LUIS DE OLIVEIRA</t>
        </is>
      </c>
      <c r="E1006" s="87" t="inlineStr">
        <is>
          <t>Tokio</t>
        </is>
      </c>
      <c r="F1006" s="87" t="inlineStr">
        <is>
          <t>Isabella</t>
        </is>
      </c>
      <c r="G1006" s="87" t="inlineStr">
        <is>
          <t>F</t>
        </is>
      </c>
      <c r="H1006" s="78" t="n">
        <v>5511983859634</v>
      </c>
      <c r="I1006" s="87" t="inlineStr">
        <is>
          <t>Novo</t>
        </is>
      </c>
      <c r="J1006" s="87" t="inlineStr">
        <is>
          <t>Assinado</t>
        </is>
      </c>
      <c r="K1006" s="60" t="n">
        <v>46214</v>
      </c>
      <c r="L1006" s="87">
        <f>TEXT(A1006,"mmmm")</f>
        <v/>
      </c>
    </row>
    <row r="1007">
      <c r="A1007" s="60" t="n">
        <v>46205</v>
      </c>
      <c r="B1007" s="60" t="n">
        <v>46208</v>
      </c>
      <c r="C1007" s="60" t="n">
        <v>46211</v>
      </c>
      <c r="D1007" s="87" t="inlineStr">
        <is>
          <t>DAVI GOMES DO CARMO</t>
        </is>
      </c>
      <c r="E1007" s="87" t="inlineStr">
        <is>
          <t>Azul</t>
        </is>
      </c>
      <c r="F1007" s="87" t="inlineStr">
        <is>
          <t>John</t>
        </is>
      </c>
      <c r="G1007" s="87" t="inlineStr">
        <is>
          <t>M</t>
        </is>
      </c>
      <c r="H1007" s="78" t="n">
        <v>5511983218094</v>
      </c>
      <c r="I1007" s="87" t="inlineStr">
        <is>
          <t>Novo</t>
        </is>
      </c>
      <c r="J1007" s="87" t="inlineStr">
        <is>
          <t>Assinado</t>
        </is>
      </c>
      <c r="K1007" s="60" t="n">
        <v>46214</v>
      </c>
      <c r="L1007" s="87">
        <f>TEXT(A1007,"mmmm")</f>
        <v/>
      </c>
    </row>
    <row r="1008">
      <c r="A1008" s="60" t="n">
        <v>46205</v>
      </c>
      <c r="B1008" s="60" t="n">
        <v>46208</v>
      </c>
      <c r="C1008" s="60" t="n">
        <v>46211</v>
      </c>
      <c r="D1008" s="87" t="inlineStr">
        <is>
          <t>FABIO SOUSA ARRUDA</t>
        </is>
      </c>
      <c r="E1008" s="87" t="inlineStr">
        <is>
          <t>Azul</t>
        </is>
      </c>
      <c r="F1008" s="87" t="inlineStr">
        <is>
          <t>Jacqueline</t>
        </is>
      </c>
      <c r="G1008" s="87" t="inlineStr">
        <is>
          <t>F</t>
        </is>
      </c>
      <c r="H1008" s="78" t="n">
        <v>5511992403802</v>
      </c>
      <c r="I1008" s="87" t="inlineStr">
        <is>
          <t>Novo</t>
        </is>
      </c>
      <c r="J1008" s="87" t="inlineStr">
        <is>
          <t>Assinado</t>
        </is>
      </c>
      <c r="K1008" s="60" t="n">
        <v>46214</v>
      </c>
      <c r="L1008" s="87">
        <f>TEXT(A1008,"mmmm")</f>
        <v/>
      </c>
    </row>
    <row r="1009">
      <c r="A1009" s="60" t="n">
        <v>46205</v>
      </c>
      <c r="B1009" s="60" t="n">
        <v>46208</v>
      </c>
      <c r="C1009" s="60" t="n">
        <v>46211</v>
      </c>
      <c r="D1009" s="87" t="inlineStr">
        <is>
          <t>FRANCISCO ADAILTON DA SILVA</t>
        </is>
      </c>
      <c r="E1009" s="87" t="inlineStr">
        <is>
          <t>Azul</t>
        </is>
      </c>
      <c r="F1009" s="87" t="inlineStr">
        <is>
          <t>Isabella</t>
        </is>
      </c>
      <c r="G1009" s="87" t="inlineStr">
        <is>
          <t>F</t>
        </is>
      </c>
      <c r="H1009" s="78" t="n">
        <v>5511962729864</v>
      </c>
      <c r="I1009" s="87" t="inlineStr">
        <is>
          <t>Novo</t>
        </is>
      </c>
      <c r="J1009" s="87" t="inlineStr">
        <is>
          <t>Assinado</t>
        </is>
      </c>
      <c r="K1009" s="60" t="n">
        <v>46214</v>
      </c>
      <c r="L1009" s="87">
        <f>TEXT(A1009,"mmmm")</f>
        <v/>
      </c>
    </row>
    <row r="1010">
      <c r="A1010" s="60" t="n">
        <v>46205</v>
      </c>
      <c r="B1010" s="60" t="n">
        <v>46208</v>
      </c>
      <c r="C1010" s="60" t="n">
        <v>46211</v>
      </c>
      <c r="D1010" s="87" t="inlineStr">
        <is>
          <t>GISLAINE KATHARYN GONCALVES LEMOS</t>
        </is>
      </c>
      <c r="E1010" s="87" t="inlineStr">
        <is>
          <t>Azul</t>
        </is>
      </c>
      <c r="F1010" s="87" t="inlineStr">
        <is>
          <t>Jacqueline</t>
        </is>
      </c>
      <c r="G1010" s="87" t="inlineStr">
        <is>
          <t>F</t>
        </is>
      </c>
      <c r="H1010" s="78" t="n">
        <v>5511997091998</v>
      </c>
      <c r="I1010" s="87" t="inlineStr">
        <is>
          <t>Novo</t>
        </is>
      </c>
      <c r="J1010" s="87" t="inlineStr">
        <is>
          <t>Cancelado</t>
        </is>
      </c>
      <c r="K1010" s="60" t="n">
        <v>46214</v>
      </c>
      <c r="L1010" s="87">
        <f>TEXT(A1010,"mmmm")</f>
        <v/>
      </c>
    </row>
    <row r="1011">
      <c r="A1011" s="60" t="n">
        <v>46205</v>
      </c>
      <c r="B1011" s="60" t="n">
        <v>46208</v>
      </c>
      <c r="C1011" s="60" t="n">
        <v>46211</v>
      </c>
      <c r="D1011" s="87" t="inlineStr">
        <is>
          <t>EDUARDO MACENA DOS SANTOS</t>
        </is>
      </c>
      <c r="E1011" s="87" t="inlineStr">
        <is>
          <t>Suhai</t>
        </is>
      </c>
      <c r="F1011" s="87" t="inlineStr">
        <is>
          <t>Leticia</t>
        </is>
      </c>
      <c r="G1011" s="87" t="inlineStr">
        <is>
          <t>F</t>
        </is>
      </c>
      <c r="H1011" s="76" t="n">
        <v>5511977617675</v>
      </c>
      <c r="I1011" s="87" t="inlineStr">
        <is>
          <t>Novo</t>
        </is>
      </c>
      <c r="J1011" s="87" t="inlineStr">
        <is>
          <t>Na planilha</t>
        </is>
      </c>
      <c r="K1011" s="60" t="n">
        <v>46214</v>
      </c>
      <c r="L1011" s="87">
        <f>TEXT(A1011,"mmmm")</f>
        <v/>
      </c>
    </row>
    <row r="1012">
      <c r="A1012" s="60" t="n">
        <v>46205</v>
      </c>
      <c r="B1012" s="60" t="n">
        <v>46208</v>
      </c>
      <c r="C1012" s="60" t="n">
        <v>46211</v>
      </c>
      <c r="D1012" s="87" t="inlineStr">
        <is>
          <t>SILVANA MARQUETTI SAMPAIO SILVA</t>
        </is>
      </c>
      <c r="E1012" s="87" t="inlineStr">
        <is>
          <t>Azul</t>
        </is>
      </c>
      <c r="F1012" s="87" t="inlineStr">
        <is>
          <t>Leticia</t>
        </is>
      </c>
      <c r="G1012" s="87" t="inlineStr">
        <is>
          <t>F</t>
        </is>
      </c>
      <c r="H1012" s="78" t="n">
        <v>5511948286748</v>
      </c>
      <c r="I1012" s="87" t="inlineStr">
        <is>
          <t>Novo</t>
        </is>
      </c>
      <c r="J1012" s="87" t="inlineStr">
        <is>
          <t>Na planilha</t>
        </is>
      </c>
      <c r="K1012" s="60" t="n">
        <v>46214</v>
      </c>
      <c r="L1012" s="87">
        <f>TEXT(A1012,"mmmm")</f>
        <v/>
      </c>
    </row>
    <row r="1013">
      <c r="A1013" s="60" t="n">
        <v>46205</v>
      </c>
      <c r="B1013" s="60" t="n">
        <v>46208</v>
      </c>
      <c r="C1013" s="60" t="n">
        <v>46211</v>
      </c>
      <c r="D1013" s="87" t="inlineStr">
        <is>
          <t>RANGEL SILVA</t>
        </is>
      </c>
      <c r="E1013" s="87" t="inlineStr">
        <is>
          <t>Mapfre</t>
        </is>
      </c>
      <c r="F1013" s="87" t="inlineStr">
        <is>
          <t>Leticia</t>
        </is>
      </c>
      <c r="G1013" s="87" t="inlineStr">
        <is>
          <t>F</t>
        </is>
      </c>
      <c r="H1013" s="78" t="n">
        <v>5561996211765</v>
      </c>
      <c r="I1013" s="87" t="inlineStr">
        <is>
          <t>Novo</t>
        </is>
      </c>
      <c r="J1013" s="87" t="inlineStr">
        <is>
          <t>Assinado</t>
        </is>
      </c>
      <c r="K1013" s="60" t="n">
        <v>46214</v>
      </c>
      <c r="L1013" s="87">
        <f>TEXT(A1013,"mmmm")</f>
        <v/>
      </c>
    </row>
    <row r="1014">
      <c r="A1014" s="60" t="n">
        <v>46206</v>
      </c>
      <c r="B1014" s="60" t="n">
        <v>46209</v>
      </c>
      <c r="C1014" s="60" t="n">
        <v>46212</v>
      </c>
      <c r="D1014" s="87" t="inlineStr">
        <is>
          <t>ANDERSON ERNANDES SOUZA SILVA</t>
        </is>
      </c>
      <c r="E1014" s="87" t="inlineStr">
        <is>
          <t>Azul</t>
        </is>
      </c>
      <c r="F1014" s="87" t="inlineStr">
        <is>
          <t>Isabella</t>
        </is>
      </c>
      <c r="G1014" s="87" t="inlineStr">
        <is>
          <t>F</t>
        </is>
      </c>
      <c r="H1014" s="78" t="n">
        <v>5511984336576</v>
      </c>
      <c r="I1014" s="87" t="inlineStr">
        <is>
          <t>Novo</t>
        </is>
      </c>
      <c r="J1014" s="87" t="inlineStr">
        <is>
          <t>Assinado</t>
        </is>
      </c>
      <c r="K1014" s="60" t="n">
        <v>46215</v>
      </c>
      <c r="L1014" s="87">
        <f>TEXT(A1014,"mmmm")</f>
        <v/>
      </c>
    </row>
    <row r="1015">
      <c r="A1015" s="60" t="n">
        <v>46206</v>
      </c>
      <c r="B1015" s="60" t="n">
        <v>46209</v>
      </c>
      <c r="C1015" s="60" t="n">
        <v>46212</v>
      </c>
      <c r="D1015" s="87" t="inlineStr">
        <is>
          <t>MANOEL NARCISO DA PIEDADE FILHO</t>
        </is>
      </c>
      <c r="E1015" s="87" t="inlineStr">
        <is>
          <t>Tokio</t>
        </is>
      </c>
      <c r="F1015" s="87" t="inlineStr">
        <is>
          <t>Jéssica</t>
        </is>
      </c>
      <c r="G1015" s="87" t="inlineStr">
        <is>
          <t>F</t>
        </is>
      </c>
      <c r="H1015" s="78" t="n">
        <v>5511983591504</v>
      </c>
      <c r="I1015" s="87" t="inlineStr">
        <is>
          <t>Novo</t>
        </is>
      </c>
      <c r="J1015" s="87" t="inlineStr">
        <is>
          <t>Assinado</t>
        </is>
      </c>
      <c r="K1015" s="60" t="n">
        <v>46215</v>
      </c>
      <c r="L1015" s="87">
        <f>TEXT(A1015,"mmmm")</f>
        <v/>
      </c>
    </row>
    <row r="1016">
      <c r="A1016" s="60" t="n">
        <v>46206</v>
      </c>
      <c r="B1016" s="60" t="n">
        <v>46209</v>
      </c>
      <c r="C1016" s="60" t="n">
        <v>46212</v>
      </c>
      <c r="D1016" s="87" t="inlineStr">
        <is>
          <t>GILBERTO GOMES ALCAIDE</t>
        </is>
      </c>
      <c r="E1016" s="87" t="inlineStr">
        <is>
          <t>Tokio</t>
        </is>
      </c>
      <c r="F1016" s="87" t="inlineStr">
        <is>
          <t>Jéssica</t>
        </is>
      </c>
      <c r="G1016" s="87" t="inlineStr">
        <is>
          <t>F</t>
        </is>
      </c>
      <c r="H1016" s="78" t="n">
        <v>5519998731405</v>
      </c>
      <c r="I1016" s="87" t="inlineStr">
        <is>
          <t>Novo</t>
        </is>
      </c>
      <c r="J1016" s="87" t="inlineStr">
        <is>
          <t>Assinado</t>
        </is>
      </c>
      <c r="K1016" s="60" t="n">
        <v>46215</v>
      </c>
      <c r="L1016" s="87">
        <f>TEXT(A1016,"mmmm")</f>
        <v/>
      </c>
    </row>
    <row r="1017">
      <c r="A1017" s="60" t="n">
        <v>46206</v>
      </c>
      <c r="B1017" s="60" t="n">
        <v>46209</v>
      </c>
      <c r="C1017" s="60" t="n">
        <v>46212</v>
      </c>
      <c r="D1017" s="87" t="inlineStr">
        <is>
          <t>MARCOS CESAR PIRES</t>
        </is>
      </c>
      <c r="E1017" s="87" t="inlineStr">
        <is>
          <t>Suhai</t>
        </is>
      </c>
      <c r="F1017" s="87" t="inlineStr">
        <is>
          <t>Jéssica</t>
        </is>
      </c>
      <c r="G1017" s="87" t="inlineStr">
        <is>
          <t>F</t>
        </is>
      </c>
      <c r="H1017" s="78" t="n">
        <v>5511996180679</v>
      </c>
      <c r="I1017" s="87" t="inlineStr">
        <is>
          <t>Novo</t>
        </is>
      </c>
      <c r="J1017" s="87" t="inlineStr">
        <is>
          <t>Assinado</t>
        </is>
      </c>
      <c r="K1017" s="60" t="n">
        <v>46215</v>
      </c>
      <c r="L1017" s="87">
        <f>TEXT(A1017,"mmmm")</f>
        <v/>
      </c>
    </row>
    <row r="1018">
      <c r="A1018" s="60" t="n">
        <v>46206</v>
      </c>
      <c r="B1018" s="60" t="n">
        <v>46209</v>
      </c>
      <c r="C1018" s="60" t="n">
        <v>46212</v>
      </c>
      <c r="D1018" s="87" t="inlineStr">
        <is>
          <t>DAVID DE SOUZA ALMEIDA</t>
        </is>
      </c>
      <c r="E1018" s="87" t="inlineStr">
        <is>
          <t>Azul</t>
        </is>
      </c>
      <c r="F1018" s="87" t="inlineStr">
        <is>
          <t>Jéssica</t>
        </is>
      </c>
      <c r="G1018" s="87" t="inlineStr">
        <is>
          <t>F</t>
        </is>
      </c>
      <c r="H1018" s="75" t="n">
        <v>5511999888556</v>
      </c>
      <c r="I1018" s="87" t="inlineStr">
        <is>
          <t>Novo</t>
        </is>
      </c>
      <c r="J1018" s="87" t="inlineStr">
        <is>
          <t>Assinado</t>
        </is>
      </c>
      <c r="K1018" s="60" t="n">
        <v>46215</v>
      </c>
      <c r="L1018" s="87">
        <f>TEXT(A1018,"mmmm")</f>
        <v/>
      </c>
    </row>
    <row r="1019">
      <c r="A1019" s="60" t="n">
        <v>46206</v>
      </c>
      <c r="B1019" s="60" t="n">
        <v>46209</v>
      </c>
      <c r="C1019" s="60" t="n">
        <v>46212</v>
      </c>
      <c r="D1019" s="87" t="inlineStr">
        <is>
          <t>NELSON BERNARDO DE MOURA</t>
        </is>
      </c>
      <c r="E1019" s="87" t="inlineStr">
        <is>
          <t>Mapfre</t>
        </is>
      </c>
      <c r="F1019" s="87" t="inlineStr">
        <is>
          <t>Jéssica</t>
        </is>
      </c>
      <c r="G1019" s="87" t="inlineStr">
        <is>
          <t>F</t>
        </is>
      </c>
      <c r="H1019" s="78" t="n">
        <v>5511957748660</v>
      </c>
      <c r="I1019" s="87" t="inlineStr">
        <is>
          <t>Novo</t>
        </is>
      </c>
      <c r="J1019" s="87" t="inlineStr">
        <is>
          <t>Assinado</t>
        </is>
      </c>
      <c r="K1019" s="60" t="n">
        <v>46215</v>
      </c>
      <c r="L1019" s="87">
        <f>TEXT(A1019,"mmmm")</f>
        <v/>
      </c>
    </row>
    <row r="1020">
      <c r="A1020" s="60" t="n">
        <v>46206</v>
      </c>
      <c r="B1020" s="60" t="n">
        <v>46209</v>
      </c>
      <c r="C1020" s="60" t="n">
        <v>46212</v>
      </c>
      <c r="D1020" s="87" t="inlineStr">
        <is>
          <t>ALEXSANDRO FERREIRA DO ARTE</t>
        </is>
      </c>
      <c r="E1020" s="87" t="inlineStr">
        <is>
          <t>Porto</t>
        </is>
      </c>
      <c r="F1020" s="87" t="inlineStr">
        <is>
          <t>Jacqueline</t>
        </is>
      </c>
      <c r="G1020" s="87" t="inlineStr">
        <is>
          <t>F</t>
        </is>
      </c>
      <c r="H1020" s="78" t="n">
        <v>5562991825661</v>
      </c>
      <c r="I1020" s="87" t="inlineStr">
        <is>
          <t>Novo</t>
        </is>
      </c>
      <c r="J1020" s="87" t="inlineStr">
        <is>
          <t>Assinado</t>
        </is>
      </c>
      <c r="K1020" s="60" t="n">
        <v>46215</v>
      </c>
      <c r="L1020" s="87">
        <f>TEXT(A1020,"mmmm")</f>
        <v/>
      </c>
    </row>
    <row r="1021">
      <c r="A1021" s="60" t="n">
        <v>46206</v>
      </c>
      <c r="B1021" s="60" t="n">
        <v>46209</v>
      </c>
      <c r="C1021" s="60" t="n">
        <v>46212</v>
      </c>
      <c r="D1021" s="87" t="inlineStr">
        <is>
          <t>LETICIA PEREIRA ROSA</t>
        </is>
      </c>
      <c r="E1021" s="87" t="inlineStr">
        <is>
          <t>Azul</t>
        </is>
      </c>
      <c r="F1021" s="87" t="inlineStr">
        <is>
          <t>John</t>
        </is>
      </c>
      <c r="G1021" s="87" t="inlineStr">
        <is>
          <t>M</t>
        </is>
      </c>
      <c r="H1021" s="78" t="n">
        <v>5519998790978</v>
      </c>
      <c r="I1021" s="87" t="inlineStr">
        <is>
          <t>Novo</t>
        </is>
      </c>
      <c r="J1021" s="87" t="inlineStr">
        <is>
          <t>Na planilha</t>
        </is>
      </c>
      <c r="K1021" s="60" t="n">
        <v>46215</v>
      </c>
      <c r="L1021" s="87">
        <f>TEXT(A1021,"mmmm")</f>
        <v/>
      </c>
    </row>
    <row r="1022">
      <c r="A1022" s="60" t="n">
        <v>46206</v>
      </c>
      <c r="B1022" s="60" t="n">
        <v>46209</v>
      </c>
      <c r="C1022" s="60" t="n">
        <v>46212</v>
      </c>
      <c r="D1022" s="87" t="inlineStr">
        <is>
          <t>RAFAEL LUIZ FERREIRA</t>
        </is>
      </c>
      <c r="E1022" s="87" t="inlineStr">
        <is>
          <t>Tokio</t>
        </is>
      </c>
      <c r="F1022" s="87" t="inlineStr">
        <is>
          <t>John</t>
        </is>
      </c>
      <c r="G1022" s="87" t="inlineStr">
        <is>
          <t>M</t>
        </is>
      </c>
      <c r="H1022" s="78" t="n">
        <v>5511964811853</v>
      </c>
      <c r="I1022" s="87" t="inlineStr">
        <is>
          <t>Novo</t>
        </is>
      </c>
      <c r="J1022" s="87" t="inlineStr">
        <is>
          <t>Assinado</t>
        </is>
      </c>
      <c r="K1022" s="60" t="n">
        <v>46215</v>
      </c>
      <c r="L1022" s="87">
        <f>TEXT(A1022,"mmmm")</f>
        <v/>
      </c>
    </row>
    <row r="1023">
      <c r="A1023" s="60" t="n">
        <v>46206</v>
      </c>
      <c r="B1023" s="60" t="n">
        <v>46209</v>
      </c>
      <c r="C1023" s="60" t="n">
        <v>46212</v>
      </c>
      <c r="D1023" s="87" t="inlineStr">
        <is>
          <t>ANDERSON LEANDRO PERO</t>
        </is>
      </c>
      <c r="E1023" s="87" t="inlineStr">
        <is>
          <t>Suhai</t>
        </is>
      </c>
      <c r="F1023" s="87" t="inlineStr">
        <is>
          <t>John</t>
        </is>
      </c>
      <c r="G1023" s="87" t="inlineStr">
        <is>
          <t>M</t>
        </is>
      </c>
      <c r="H1023" s="78" t="n">
        <v>5511945796142</v>
      </c>
      <c r="I1023" s="87" t="inlineStr">
        <is>
          <t>Novo</t>
        </is>
      </c>
      <c r="J1023" s="87" t="inlineStr">
        <is>
          <t>Assinado</t>
        </is>
      </c>
      <c r="K1023" s="60" t="n">
        <v>46215</v>
      </c>
      <c r="L1023" s="87">
        <f>TEXT(A1023,"mmmm")</f>
        <v/>
      </c>
    </row>
    <row r="1024">
      <c r="A1024" s="60" t="n">
        <v>46206</v>
      </c>
      <c r="B1024" s="60" t="n">
        <v>46209</v>
      </c>
      <c r="C1024" s="60" t="n">
        <v>46212</v>
      </c>
      <c r="D1024" s="87" t="inlineStr">
        <is>
          <t>LORIS ADRIANO MAXIMINO DE CARVALHO</t>
        </is>
      </c>
      <c r="E1024" s="87" t="inlineStr">
        <is>
          <t>Azul</t>
        </is>
      </c>
      <c r="F1024" s="87" t="inlineStr">
        <is>
          <t>John</t>
        </is>
      </c>
      <c r="G1024" s="87" t="inlineStr">
        <is>
          <t>M</t>
        </is>
      </c>
      <c r="H1024" s="75" t="n">
        <v>5511996972502</v>
      </c>
      <c r="I1024" s="87" t="inlineStr">
        <is>
          <t>Novo</t>
        </is>
      </c>
      <c r="J1024" s="87" t="inlineStr">
        <is>
          <t>Na planilha</t>
        </is>
      </c>
      <c r="K1024" s="60" t="n">
        <v>46215</v>
      </c>
      <c r="L1024" s="87">
        <f>TEXT(A1024,"mmmm")</f>
        <v/>
      </c>
    </row>
    <row r="1025">
      <c r="A1025" s="60" t="n">
        <v>46206</v>
      </c>
      <c r="B1025" s="60" t="n">
        <v>46209</v>
      </c>
      <c r="C1025" s="60" t="n">
        <v>46212</v>
      </c>
      <c r="D1025" s="87" t="inlineStr">
        <is>
          <t>MARCELO NEGREIROS FREITAS</t>
        </is>
      </c>
      <c r="E1025" s="87" t="inlineStr">
        <is>
          <t>Tokio</t>
        </is>
      </c>
      <c r="F1025" s="87" t="inlineStr">
        <is>
          <t>Leticia</t>
        </is>
      </c>
      <c r="G1025" s="87" t="inlineStr">
        <is>
          <t>F</t>
        </is>
      </c>
      <c r="H1025" s="78" t="n">
        <v>5511951413406</v>
      </c>
      <c r="I1025" s="87" t="inlineStr">
        <is>
          <t>Novo</t>
        </is>
      </c>
      <c r="J1025" s="87" t="inlineStr">
        <is>
          <t>Assinado</t>
        </is>
      </c>
      <c r="K1025" s="60" t="n">
        <v>46215</v>
      </c>
      <c r="L1025" s="87">
        <f>TEXT(A1025,"mmmm")</f>
        <v/>
      </c>
    </row>
    <row r="1026">
      <c r="A1026" s="60" t="n">
        <v>46206</v>
      </c>
      <c r="B1026" s="60" t="n">
        <v>46209</v>
      </c>
      <c r="C1026" s="60" t="n">
        <v>46212</v>
      </c>
      <c r="D1026" s="87" t="inlineStr">
        <is>
          <t>JOSE SEVERINO DA SILVA</t>
        </is>
      </c>
      <c r="E1026" s="87" t="inlineStr">
        <is>
          <t>Azul</t>
        </is>
      </c>
      <c r="F1026" s="87" t="inlineStr">
        <is>
          <t>John</t>
        </is>
      </c>
      <c r="G1026" s="87" t="inlineStr">
        <is>
          <t>M</t>
        </is>
      </c>
      <c r="H1026" s="78" t="n">
        <v>5511977579844</v>
      </c>
      <c r="I1026" s="87" t="inlineStr">
        <is>
          <t>Novo</t>
        </is>
      </c>
      <c r="J1026" s="87" t="inlineStr">
        <is>
          <t>Assinado</t>
        </is>
      </c>
      <c r="K1026" s="60" t="n">
        <v>46215</v>
      </c>
      <c r="L1026" s="87">
        <f>TEXT(A1026,"mmmm")</f>
        <v/>
      </c>
    </row>
    <row r="1027">
      <c r="A1027" s="60" t="n">
        <v>46206</v>
      </c>
      <c r="B1027" s="60" t="n">
        <v>46209</v>
      </c>
      <c r="C1027" s="60" t="n">
        <v>46212</v>
      </c>
      <c r="D1027" s="87" t="inlineStr">
        <is>
          <t>JHENNER DE OLIVEIRA CARVALHO</t>
        </is>
      </c>
      <c r="E1027" s="87" t="inlineStr">
        <is>
          <t>Azul</t>
        </is>
      </c>
      <c r="F1027" s="87" t="inlineStr">
        <is>
          <t>John</t>
        </is>
      </c>
      <c r="G1027" s="87" t="inlineStr">
        <is>
          <t>M</t>
        </is>
      </c>
      <c r="H1027" s="78" t="n">
        <v>5511996972502</v>
      </c>
      <c r="I1027" s="87" t="inlineStr">
        <is>
          <t>Novo</t>
        </is>
      </c>
      <c r="J1027" s="87" t="inlineStr">
        <is>
          <t>Na planilha</t>
        </is>
      </c>
      <c r="K1027" s="60" t="n">
        <v>46215</v>
      </c>
      <c r="L1027" s="87">
        <f>TEXT(A1027,"mmmm")</f>
        <v/>
      </c>
    </row>
    <row r="1028">
      <c r="A1028" s="60" t="n">
        <v>46206</v>
      </c>
      <c r="B1028" s="60" t="n">
        <v>46209</v>
      </c>
      <c r="C1028" s="60" t="n">
        <v>46212</v>
      </c>
      <c r="D1028" s="87" t="inlineStr">
        <is>
          <t>EDUARDO LUIS OLIBONI BASTOS</t>
        </is>
      </c>
      <c r="E1028" s="87" t="inlineStr">
        <is>
          <t>Porto</t>
        </is>
      </c>
      <c r="F1028" s="87" t="inlineStr">
        <is>
          <t>John</t>
        </is>
      </c>
      <c r="G1028" s="87" t="inlineStr">
        <is>
          <t>M</t>
        </is>
      </c>
      <c r="H1028" s="78" t="n">
        <v>5511940438881</v>
      </c>
      <c r="I1028" s="87" t="inlineStr">
        <is>
          <t>Novo</t>
        </is>
      </c>
      <c r="J1028" s="87" t="inlineStr">
        <is>
          <t>Assinado</t>
        </is>
      </c>
      <c r="K1028" s="60" t="n">
        <v>46215</v>
      </c>
      <c r="L1028" s="87">
        <f>TEXT(A1028,"mmmm")</f>
        <v/>
      </c>
    </row>
    <row r="1029">
      <c r="A1029" s="60" t="n">
        <v>46209</v>
      </c>
      <c r="B1029" s="60" t="n">
        <v>46212</v>
      </c>
      <c r="C1029" s="60" t="n">
        <v>46215</v>
      </c>
      <c r="D1029" s="87" t="inlineStr">
        <is>
          <t>DENISE DE SA MARQUES DOS SANTOS</t>
        </is>
      </c>
      <c r="E1029" s="87" t="inlineStr">
        <is>
          <t>Allianz</t>
        </is>
      </c>
      <c r="F1029" s="87" t="inlineStr">
        <is>
          <t>John</t>
        </is>
      </c>
      <c r="G1029" s="87" t="inlineStr">
        <is>
          <t>M</t>
        </is>
      </c>
      <c r="H1029" s="78" t="n">
        <v>5511971580102</v>
      </c>
      <c r="I1029" s="87" t="inlineStr">
        <is>
          <t>Endosso</t>
        </is>
      </c>
      <c r="J1029" s="87" t="inlineStr">
        <is>
          <t>Assinado</t>
        </is>
      </c>
      <c r="K1029" s="60" t="n">
        <v>46218</v>
      </c>
      <c r="L1029" s="87">
        <f>TEXT(A1029,"mmmm")</f>
        <v/>
      </c>
    </row>
    <row r="1030">
      <c r="A1030" s="60" t="n">
        <v>46209</v>
      </c>
      <c r="B1030" s="60" t="n">
        <v>46212</v>
      </c>
      <c r="C1030" s="60" t="n">
        <v>46215</v>
      </c>
      <c r="D1030" s="87" t="inlineStr">
        <is>
          <t>MATEUS RUBEM DA SILVA</t>
        </is>
      </c>
      <c r="E1030" s="87" t="inlineStr">
        <is>
          <t>Suhai</t>
        </is>
      </c>
      <c r="F1030" s="87" t="inlineStr">
        <is>
          <t>Isabella</t>
        </is>
      </c>
      <c r="G1030" s="87" t="inlineStr">
        <is>
          <t>F</t>
        </is>
      </c>
      <c r="H1030" s="78" t="n">
        <v>5511994381750</v>
      </c>
      <c r="I1030" s="87" t="inlineStr">
        <is>
          <t>Novo</t>
        </is>
      </c>
      <c r="J1030" s="87" t="inlineStr">
        <is>
          <t>Assinado</t>
        </is>
      </c>
      <c r="K1030" s="60" t="n">
        <v>46218</v>
      </c>
      <c r="L1030" s="87">
        <f>TEXT(A1030,"mmmm")</f>
        <v/>
      </c>
    </row>
    <row r="1031">
      <c r="A1031" s="60" t="n">
        <v>46209</v>
      </c>
      <c r="B1031" s="60" t="n">
        <v>46212</v>
      </c>
      <c r="C1031" s="60" t="n">
        <v>46215</v>
      </c>
      <c r="D1031" s="87" t="inlineStr">
        <is>
          <t>SIMONE RAMOS FERNANDES</t>
        </is>
      </c>
      <c r="E1031" s="87" t="inlineStr">
        <is>
          <t>Azul</t>
        </is>
      </c>
      <c r="F1031" s="87" t="inlineStr">
        <is>
          <t>Leticia</t>
        </is>
      </c>
      <c r="G1031" s="87" t="inlineStr">
        <is>
          <t>F</t>
        </is>
      </c>
      <c r="H1031" s="78" t="n">
        <v>5511947638569</v>
      </c>
      <c r="I1031" s="87" t="inlineStr">
        <is>
          <t>Novo</t>
        </is>
      </c>
      <c r="J1031" s="87" t="inlineStr">
        <is>
          <t>Assinado</t>
        </is>
      </c>
      <c r="K1031" s="60" t="n">
        <v>46218</v>
      </c>
      <c r="L1031" s="87">
        <f>TEXT(A1031,"mmmm")</f>
        <v/>
      </c>
    </row>
    <row r="1032">
      <c r="A1032" s="60" t="n">
        <v>46209</v>
      </c>
      <c r="B1032" s="60" t="n">
        <v>46212</v>
      </c>
      <c r="C1032" s="60" t="n">
        <v>46215</v>
      </c>
      <c r="D1032" s="87" t="inlineStr">
        <is>
          <t>NAIANE CRISTINE ESTEVAM DA SILVA</t>
        </is>
      </c>
      <c r="E1032" s="87" t="inlineStr">
        <is>
          <t>Azul</t>
        </is>
      </c>
      <c r="F1032" s="87" t="inlineStr">
        <is>
          <t>Isabella</t>
        </is>
      </c>
      <c r="G1032" s="87" t="inlineStr">
        <is>
          <t>F</t>
        </is>
      </c>
      <c r="H1032" s="78" t="n">
        <v>5511985151847</v>
      </c>
      <c r="I1032" s="87" t="inlineStr">
        <is>
          <t>Novo</t>
        </is>
      </c>
      <c r="J1032" s="87" t="inlineStr">
        <is>
          <t>Assinado</t>
        </is>
      </c>
      <c r="K1032" s="60" t="n">
        <v>46218</v>
      </c>
      <c r="L1032" s="87">
        <f>TEXT(A1032,"mmmm")</f>
        <v/>
      </c>
    </row>
    <row r="1033">
      <c r="A1033" s="60" t="n">
        <v>46209</v>
      </c>
      <c r="B1033" s="60" t="n">
        <v>46212</v>
      </c>
      <c r="C1033" s="60" t="n">
        <v>46215</v>
      </c>
      <c r="D1033" s="87" t="inlineStr">
        <is>
          <t>ISABELLA SERRA SOUZA</t>
        </is>
      </c>
      <c r="E1033" s="87" t="inlineStr">
        <is>
          <t>Suhai</t>
        </is>
      </c>
      <c r="F1033" s="87" t="inlineStr">
        <is>
          <t>Pamela</t>
        </is>
      </c>
      <c r="G1033" s="87" t="inlineStr">
        <is>
          <t>F</t>
        </is>
      </c>
      <c r="H1033" s="78" t="n">
        <v>5511944466013</v>
      </c>
      <c r="I1033" s="87" t="inlineStr">
        <is>
          <t>Novo</t>
        </is>
      </c>
      <c r="J1033" s="87" t="inlineStr">
        <is>
          <t>Assinado</t>
        </is>
      </c>
      <c r="K1033" s="60" t="n">
        <v>46218</v>
      </c>
      <c r="L1033" s="87">
        <f>TEXT(A1033,"mmmm")</f>
        <v/>
      </c>
    </row>
    <row r="1034">
      <c r="A1034" s="60" t="n">
        <v>46209</v>
      </c>
      <c r="B1034" s="60" t="n">
        <v>46212</v>
      </c>
      <c r="C1034" s="60" t="n">
        <v>46215</v>
      </c>
      <c r="D1034" s="87" t="inlineStr">
        <is>
          <t>LUIZ CARLOS ZEN</t>
        </is>
      </c>
      <c r="E1034" s="87" t="inlineStr">
        <is>
          <t>Azul</t>
        </is>
      </c>
      <c r="F1034" s="87" t="inlineStr">
        <is>
          <t>Isabella</t>
        </is>
      </c>
      <c r="G1034" s="87" t="inlineStr">
        <is>
          <t>F</t>
        </is>
      </c>
      <c r="H1034" s="78" t="n">
        <v>5519997306207</v>
      </c>
      <c r="I1034" s="87" t="inlineStr">
        <is>
          <t>Novo</t>
        </is>
      </c>
      <c r="J1034" s="87" t="inlineStr">
        <is>
          <t>Assinado</t>
        </is>
      </c>
      <c r="K1034" s="60" t="n">
        <v>46218</v>
      </c>
      <c r="L1034" s="87">
        <f>TEXT(A1034,"mmmm")</f>
        <v/>
      </c>
    </row>
    <row r="1035">
      <c r="A1035" s="60" t="n">
        <v>46210</v>
      </c>
      <c r="B1035" s="60" t="n">
        <v>46213</v>
      </c>
      <c r="C1035" s="60" t="n">
        <v>46216</v>
      </c>
      <c r="D1035" s="87" t="inlineStr">
        <is>
          <t>LEANDRO FERRAREZI</t>
        </is>
      </c>
      <c r="E1035" s="87" t="inlineStr">
        <is>
          <t>Azul</t>
        </is>
      </c>
      <c r="F1035" s="87" t="inlineStr">
        <is>
          <t>Myrelle</t>
        </is>
      </c>
      <c r="G1035" s="87" t="inlineStr">
        <is>
          <t>F</t>
        </is>
      </c>
      <c r="H1035" s="78" t="n">
        <v>5514998116483</v>
      </c>
      <c r="I1035" s="87" t="inlineStr">
        <is>
          <t>Novo</t>
        </is>
      </c>
      <c r="J1035" s="87" t="inlineStr">
        <is>
          <t>Assinado</t>
        </is>
      </c>
      <c r="K1035" s="60" t="n">
        <v>46219</v>
      </c>
      <c r="L1035" s="87">
        <f>TEXT(A1035,"mmmm")</f>
        <v/>
      </c>
    </row>
    <row r="1036">
      <c r="A1036" s="60" t="n">
        <v>46210</v>
      </c>
      <c r="B1036" s="60" t="n">
        <v>46213</v>
      </c>
      <c r="C1036" s="60" t="n">
        <v>46216</v>
      </c>
      <c r="D1036" s="87" t="inlineStr">
        <is>
          <t>JOSE ROBERTO POSTIGO</t>
        </is>
      </c>
      <c r="E1036" s="87" t="inlineStr">
        <is>
          <t>Azul</t>
        </is>
      </c>
      <c r="F1036" s="87" t="inlineStr">
        <is>
          <t>Leticia</t>
        </is>
      </c>
      <c r="G1036" s="87" t="inlineStr">
        <is>
          <t>F</t>
        </is>
      </c>
      <c r="H1036" s="78" t="n">
        <v>5519994685125</v>
      </c>
      <c r="I1036" s="87" t="inlineStr">
        <is>
          <t>Novo</t>
        </is>
      </c>
      <c r="J1036" s="87" t="inlineStr">
        <is>
          <t>Assinado</t>
        </is>
      </c>
      <c r="K1036" s="60" t="n">
        <v>46219</v>
      </c>
      <c r="L1036" s="87">
        <f>TEXT(A1036,"mmmm")</f>
        <v/>
      </c>
    </row>
    <row r="1037">
      <c r="A1037" s="60" t="n">
        <v>46210</v>
      </c>
      <c r="B1037" s="60" t="n">
        <v>46213</v>
      </c>
      <c r="C1037" s="60" t="n">
        <v>46216</v>
      </c>
      <c r="D1037" s="87" t="inlineStr">
        <is>
          <t>FABIO DA SILVA PIMENTEL</t>
        </is>
      </c>
      <c r="E1037" s="87" t="inlineStr">
        <is>
          <t>Tokio</t>
        </is>
      </c>
      <c r="F1037" s="87" t="inlineStr">
        <is>
          <t>John</t>
        </is>
      </c>
      <c r="G1037" s="87" t="inlineStr">
        <is>
          <t>M</t>
        </is>
      </c>
      <c r="H1037" s="78" t="n">
        <v>5511961479027</v>
      </c>
      <c r="I1037" s="87" t="inlineStr">
        <is>
          <t>Endosso</t>
        </is>
      </c>
      <c r="J1037" s="87" t="inlineStr">
        <is>
          <t>Erro</t>
        </is>
      </c>
      <c r="K1037" s="60" t="n">
        <v>46219</v>
      </c>
      <c r="L1037" s="87">
        <f>TEXT(A1037,"mmmm")</f>
        <v/>
      </c>
    </row>
    <row r="1038">
      <c r="A1038" s="60" t="n">
        <v>46210</v>
      </c>
      <c r="B1038" s="60" t="n">
        <v>46213</v>
      </c>
      <c r="C1038" s="60" t="n">
        <v>46216</v>
      </c>
      <c r="D1038" s="87" t="inlineStr">
        <is>
          <t>JOSE GERALDO DA SILVA</t>
        </is>
      </c>
      <c r="E1038" s="87" t="inlineStr">
        <is>
          <t>Tokio</t>
        </is>
      </c>
      <c r="F1038" s="87" t="inlineStr">
        <is>
          <t>John</t>
        </is>
      </c>
      <c r="G1038" s="87" t="inlineStr">
        <is>
          <t>M</t>
        </is>
      </c>
      <c r="H1038" s="78" t="n">
        <v>5511983866617</v>
      </c>
      <c r="I1038" s="87" t="inlineStr">
        <is>
          <t>Endosso</t>
        </is>
      </c>
      <c r="J1038" s="87" t="inlineStr">
        <is>
          <t>Assinado</t>
        </is>
      </c>
      <c r="K1038" s="60" t="n">
        <v>46219</v>
      </c>
      <c r="L1038" s="87">
        <f>TEXT(A1038,"mmmm")</f>
        <v/>
      </c>
    </row>
    <row r="1039">
      <c r="A1039" s="60" t="n">
        <v>46210</v>
      </c>
      <c r="B1039" s="60" t="n">
        <v>46213</v>
      </c>
      <c r="C1039" s="60" t="n">
        <v>46216</v>
      </c>
      <c r="D1039" s="87" t="inlineStr">
        <is>
          <t>FABIANO FERNANDES CARREIRO</t>
        </is>
      </c>
      <c r="E1039" s="87" t="inlineStr">
        <is>
          <t>Suhai</t>
        </is>
      </c>
      <c r="F1039" s="87" t="inlineStr">
        <is>
          <t>Jéssica</t>
        </is>
      </c>
      <c r="G1039" s="87" t="inlineStr">
        <is>
          <t>F</t>
        </is>
      </c>
      <c r="H1039" s="78" t="n">
        <v>5511963551676</v>
      </c>
      <c r="I1039" s="87" t="inlineStr">
        <is>
          <t>Novo</t>
        </is>
      </c>
      <c r="J1039" s="87" t="inlineStr">
        <is>
          <t>Na planilha</t>
        </is>
      </c>
      <c r="K1039" s="60" t="n">
        <v>46219</v>
      </c>
      <c r="L1039" s="87">
        <f>TEXT(A1039,"mmmm")</f>
        <v/>
      </c>
    </row>
    <row r="1040">
      <c r="A1040" s="60" t="n">
        <v>46210</v>
      </c>
      <c r="B1040" s="60" t="n">
        <v>46213</v>
      </c>
      <c r="C1040" s="60" t="n">
        <v>46216</v>
      </c>
      <c r="D1040" s="87" t="inlineStr">
        <is>
          <t>JOSE ROBERTO LEMES LEITE SOARES JUNIOR</t>
        </is>
      </c>
      <c r="E1040" s="87" t="inlineStr">
        <is>
          <t>Tokio</t>
        </is>
      </c>
      <c r="F1040" s="87" t="inlineStr">
        <is>
          <t>Jéssica</t>
        </is>
      </c>
      <c r="G1040" s="87" t="inlineStr">
        <is>
          <t>F</t>
        </is>
      </c>
      <c r="H1040" s="78" t="n">
        <v>5518996604889</v>
      </c>
      <c r="I1040" s="87" t="inlineStr">
        <is>
          <t>Novo</t>
        </is>
      </c>
      <c r="J1040" s="87" t="inlineStr">
        <is>
          <t>Na planilha</t>
        </is>
      </c>
      <c r="K1040" s="60" t="n">
        <v>46219</v>
      </c>
      <c r="L1040" s="87">
        <f>TEXT(A1040,"mmmm")</f>
        <v/>
      </c>
    </row>
    <row r="1041">
      <c r="A1041" s="60" t="n">
        <v>46210</v>
      </c>
      <c r="B1041" s="60" t="n">
        <v>46213</v>
      </c>
      <c r="C1041" s="60" t="n">
        <v>46216</v>
      </c>
      <c r="D1041" s="87" t="inlineStr">
        <is>
          <t>WALLACE RODRIGO DA SILVA</t>
        </is>
      </c>
      <c r="E1041" s="87" t="inlineStr">
        <is>
          <t>Tokio</t>
        </is>
      </c>
      <c r="F1041" s="87" t="inlineStr">
        <is>
          <t>Jéssica</t>
        </is>
      </c>
      <c r="G1041" s="87" t="inlineStr">
        <is>
          <t>F</t>
        </is>
      </c>
      <c r="H1041" s="78" t="n">
        <v>5511947392735</v>
      </c>
      <c r="I1041" s="87" t="inlineStr">
        <is>
          <t>Novo</t>
        </is>
      </c>
      <c r="J1041" s="87" t="inlineStr">
        <is>
          <t>Assinado</t>
        </is>
      </c>
      <c r="K1041" s="60" t="n">
        <v>46219</v>
      </c>
      <c r="L1041" s="87">
        <f>TEXT(A1041,"mmmm")</f>
        <v/>
      </c>
    </row>
    <row r="1042">
      <c r="A1042" s="60" t="n">
        <v>46210</v>
      </c>
      <c r="B1042" s="60" t="n">
        <v>46213</v>
      </c>
      <c r="C1042" s="60" t="n">
        <v>46216</v>
      </c>
      <c r="D1042" s="87" t="inlineStr">
        <is>
          <t>SIMONE MARIA DO NASCIMENTO SILVA</t>
        </is>
      </c>
      <c r="E1042" s="87" t="inlineStr">
        <is>
          <t>Azul</t>
        </is>
      </c>
      <c r="F1042" s="87" t="inlineStr">
        <is>
          <t>Leticia</t>
        </is>
      </c>
      <c r="G1042" s="87" t="inlineStr">
        <is>
          <t>F</t>
        </is>
      </c>
      <c r="H1042" s="78" t="n">
        <v>5511999690887</v>
      </c>
      <c r="I1042" s="87" t="inlineStr">
        <is>
          <t>Novo</t>
        </is>
      </c>
      <c r="J1042" s="87" t="inlineStr">
        <is>
          <t>Assinado</t>
        </is>
      </c>
      <c r="K1042" s="60" t="n">
        <v>46219</v>
      </c>
      <c r="L1042" s="87">
        <f>TEXT(A1042,"mmmm")</f>
        <v/>
      </c>
    </row>
    <row r="1043">
      <c r="A1043" s="60" t="n">
        <v>46210</v>
      </c>
      <c r="B1043" s="60" t="n">
        <v>46213</v>
      </c>
      <c r="C1043" s="60" t="n">
        <v>46216</v>
      </c>
      <c r="D1043" s="87" t="inlineStr">
        <is>
          <t>OLIVIO DANIEL FERRARI</t>
        </is>
      </c>
      <c r="E1043" s="87" t="inlineStr">
        <is>
          <t>Azul</t>
        </is>
      </c>
      <c r="F1043" s="87" t="inlineStr">
        <is>
          <t>Jéssica</t>
        </is>
      </c>
      <c r="G1043" s="87" t="inlineStr">
        <is>
          <t>F</t>
        </is>
      </c>
      <c r="H1043" s="78" t="n">
        <v>5516999638941</v>
      </c>
      <c r="I1043" s="87" t="inlineStr">
        <is>
          <t>Novo</t>
        </is>
      </c>
      <c r="J1043" s="87" t="inlineStr">
        <is>
          <t>Assinado</t>
        </is>
      </c>
      <c r="K1043" s="60" t="n">
        <v>46219</v>
      </c>
      <c r="L1043" s="87">
        <f>TEXT(A1043,"mmmm")</f>
        <v/>
      </c>
    </row>
    <row r="1044">
      <c r="A1044" s="60" t="n">
        <v>46210</v>
      </c>
      <c r="B1044" s="60" t="n">
        <v>46213</v>
      </c>
      <c r="C1044" s="60" t="n">
        <v>46216</v>
      </c>
      <c r="D1044" s="87" t="inlineStr">
        <is>
          <t>MARCOS ANTONIO DA SILVA</t>
        </is>
      </c>
      <c r="E1044" s="87" t="inlineStr">
        <is>
          <t>Tokio</t>
        </is>
      </c>
      <c r="F1044" s="87" t="inlineStr">
        <is>
          <t>Isabella</t>
        </is>
      </c>
      <c r="G1044" s="87" t="inlineStr">
        <is>
          <t>F</t>
        </is>
      </c>
      <c r="H1044" s="78" t="n">
        <v>5511949187077</v>
      </c>
      <c r="I1044" s="87" t="inlineStr">
        <is>
          <t>Novo</t>
        </is>
      </c>
      <c r="J1044" s="87" t="inlineStr">
        <is>
          <t>Assinado</t>
        </is>
      </c>
      <c r="K1044" s="60" t="n">
        <v>46219</v>
      </c>
      <c r="L1044" s="87">
        <f>TEXT(A1044,"mmmm")</f>
        <v/>
      </c>
    </row>
    <row r="1045">
      <c r="A1045" s="60" t="n">
        <v>46210</v>
      </c>
      <c r="B1045" s="60" t="n">
        <v>46213</v>
      </c>
      <c r="C1045" s="60" t="n">
        <v>46216</v>
      </c>
      <c r="D1045" s="87" t="inlineStr">
        <is>
          <t>SANDRO ELIAS VIEIRA PINTO</t>
        </is>
      </c>
      <c r="E1045" s="87" t="inlineStr">
        <is>
          <t>Suhai</t>
        </is>
      </c>
      <c r="F1045" s="87" t="inlineStr">
        <is>
          <t>Isabella</t>
        </is>
      </c>
      <c r="G1045" s="87" t="inlineStr">
        <is>
          <t>F</t>
        </is>
      </c>
      <c r="H1045" s="78" t="n">
        <v>5515991256471</v>
      </c>
      <c r="I1045" s="87" t="inlineStr">
        <is>
          <t>Novo</t>
        </is>
      </c>
      <c r="J1045" s="87" t="inlineStr">
        <is>
          <t>Na planilha</t>
        </is>
      </c>
      <c r="K1045" s="60" t="n">
        <v>46219</v>
      </c>
      <c r="L1045" s="87">
        <f>TEXT(A1045,"mmmm")</f>
        <v/>
      </c>
    </row>
    <row r="1046">
      <c r="A1046" s="60" t="n">
        <v>46210</v>
      </c>
      <c r="B1046" s="60" t="n">
        <v>46213</v>
      </c>
      <c r="C1046" s="60" t="n">
        <v>46216</v>
      </c>
      <c r="D1046" s="87" t="inlineStr">
        <is>
          <t>IVANILDO LOPES DE OLIVEIRA</t>
        </is>
      </c>
      <c r="E1046" s="87" t="inlineStr">
        <is>
          <t>Azul</t>
        </is>
      </c>
      <c r="F1046" s="87" t="inlineStr">
        <is>
          <t>Isabella</t>
        </is>
      </c>
      <c r="G1046" s="87" t="inlineStr">
        <is>
          <t>F</t>
        </is>
      </c>
      <c r="H1046" s="78" t="n">
        <v>5511950396436</v>
      </c>
      <c r="I1046" s="87" t="inlineStr">
        <is>
          <t>Novo</t>
        </is>
      </c>
      <c r="J1046" s="87" t="inlineStr">
        <is>
          <t>Assinado</t>
        </is>
      </c>
      <c r="K1046" s="60" t="n">
        <v>46219</v>
      </c>
      <c r="L1046" s="87">
        <f>TEXT(A1046,"mmmm")</f>
        <v/>
      </c>
    </row>
    <row r="1047">
      <c r="A1047" s="60" t="n">
        <v>46211</v>
      </c>
      <c r="B1047" s="60" t="n">
        <v>46214</v>
      </c>
      <c r="C1047" s="60" t="n">
        <v>46217</v>
      </c>
      <c r="D1047" s="87" t="inlineStr">
        <is>
          <t>MILTON PASCOAL DE OLIVEIRA</t>
        </is>
      </c>
      <c r="E1047" s="87" t="inlineStr">
        <is>
          <t>Azul</t>
        </is>
      </c>
      <c r="F1047" s="87" t="inlineStr">
        <is>
          <t>John</t>
        </is>
      </c>
      <c r="G1047" s="87" t="inlineStr">
        <is>
          <t>M</t>
        </is>
      </c>
      <c r="H1047" s="78" t="n">
        <v>5511981925367</v>
      </c>
      <c r="I1047" s="87" t="inlineStr">
        <is>
          <t>Renovação</t>
        </is>
      </c>
      <c r="J1047" s="87" t="inlineStr">
        <is>
          <t>Assinado</t>
        </is>
      </c>
      <c r="K1047" s="60" t="n">
        <v>46220</v>
      </c>
      <c r="L1047" s="87">
        <f>TEXT(A1047,"mmmm")</f>
        <v/>
      </c>
    </row>
    <row r="1048">
      <c r="A1048" s="60" t="n">
        <v>46211</v>
      </c>
      <c r="B1048" s="60" t="n">
        <v>46214</v>
      </c>
      <c r="C1048" s="60" t="n">
        <v>46217</v>
      </c>
      <c r="D1048" s="87" t="inlineStr">
        <is>
          <t>ISRAEL MAMEDE PEREIRA</t>
        </is>
      </c>
      <c r="E1048" s="87" t="inlineStr">
        <is>
          <t>Suhai</t>
        </is>
      </c>
      <c r="F1048" s="87" t="inlineStr">
        <is>
          <t>John</t>
        </is>
      </c>
      <c r="G1048" s="87" t="inlineStr">
        <is>
          <t>M</t>
        </is>
      </c>
      <c r="H1048" s="78" t="n">
        <v>5511950943013</v>
      </c>
      <c r="I1048" s="87" t="inlineStr">
        <is>
          <t>Renovação</t>
        </is>
      </c>
      <c r="J1048" s="87" t="inlineStr">
        <is>
          <t>Na planilha</t>
        </is>
      </c>
      <c r="K1048" s="60" t="n">
        <v>46220</v>
      </c>
      <c r="L1048" s="87">
        <f>TEXT(A1048,"mmmm")</f>
        <v/>
      </c>
    </row>
    <row r="1049">
      <c r="A1049" s="60" t="n">
        <v>46211</v>
      </c>
      <c r="B1049" s="60" t="n">
        <v>46214</v>
      </c>
      <c r="C1049" s="60" t="n">
        <v>46217</v>
      </c>
      <c r="D1049" s="87" t="inlineStr">
        <is>
          <t>GILMARA APARECIDA GODINHO</t>
        </is>
      </c>
      <c r="E1049" s="87" t="inlineStr">
        <is>
          <t>Azul</t>
        </is>
      </c>
      <c r="F1049" s="87" t="inlineStr">
        <is>
          <t>John</t>
        </is>
      </c>
      <c r="G1049" s="87" t="inlineStr">
        <is>
          <t>M</t>
        </is>
      </c>
      <c r="H1049" s="78" t="n">
        <v>5515996474400</v>
      </c>
      <c r="I1049" s="87" t="inlineStr">
        <is>
          <t>Novo</t>
        </is>
      </c>
      <c r="J1049" s="87" t="inlineStr">
        <is>
          <t>Na planilha</t>
        </is>
      </c>
      <c r="K1049" s="60" t="n">
        <v>46220</v>
      </c>
      <c r="L1049" s="87">
        <f>TEXT(A1049,"mmmm")</f>
        <v/>
      </c>
    </row>
    <row r="1050">
      <c r="A1050" s="60" t="n">
        <v>46211</v>
      </c>
      <c r="B1050" s="60" t="n">
        <v>46214</v>
      </c>
      <c r="C1050" s="60" t="n">
        <v>46217</v>
      </c>
      <c r="D1050" s="87" t="inlineStr">
        <is>
          <t>EDSON DIAS DE SIQUEIRA</t>
        </is>
      </c>
      <c r="E1050" s="87" t="inlineStr">
        <is>
          <t>Azul</t>
        </is>
      </c>
      <c r="F1050" s="87" t="inlineStr">
        <is>
          <t>John</t>
        </is>
      </c>
      <c r="G1050" s="87" t="inlineStr">
        <is>
          <t>M</t>
        </is>
      </c>
      <c r="H1050" s="78" t="n">
        <v>5511949164146</v>
      </c>
      <c r="I1050" s="87" t="inlineStr">
        <is>
          <t>Novo</t>
        </is>
      </c>
      <c r="J1050" s="87" t="inlineStr">
        <is>
          <t>Assinado</t>
        </is>
      </c>
      <c r="K1050" s="60" t="n">
        <v>46220</v>
      </c>
      <c r="L1050" s="87">
        <f>TEXT(A1050,"mmmm")</f>
        <v/>
      </c>
    </row>
    <row r="1051">
      <c r="A1051" s="60" t="n">
        <v>46211</v>
      </c>
      <c r="B1051" s="60" t="n">
        <v>46214</v>
      </c>
      <c r="C1051" s="60" t="n">
        <v>46217</v>
      </c>
      <c r="D1051" s="87" t="inlineStr">
        <is>
          <t>JOSE ROBERTO RIOS</t>
        </is>
      </c>
      <c r="E1051" s="87" t="inlineStr">
        <is>
          <t>Tokio</t>
        </is>
      </c>
      <c r="F1051" s="87" t="inlineStr">
        <is>
          <t>John</t>
        </is>
      </c>
      <c r="G1051" s="87" t="inlineStr">
        <is>
          <t>M</t>
        </is>
      </c>
      <c r="H1051" s="78" t="n">
        <v>5511981485921</v>
      </c>
      <c r="I1051" s="87" t="inlineStr">
        <is>
          <t>Renovação</t>
        </is>
      </c>
      <c r="J1051" s="87" t="inlineStr">
        <is>
          <t>Assinado</t>
        </is>
      </c>
      <c r="K1051" s="60" t="n">
        <v>46220</v>
      </c>
      <c r="L1051" s="87">
        <f>TEXT(A1051,"mmmm")</f>
        <v/>
      </c>
    </row>
    <row r="1052">
      <c r="A1052" s="60" t="n">
        <v>46211</v>
      </c>
      <c r="B1052" s="60" t="n">
        <v>46214</v>
      </c>
      <c r="C1052" s="60" t="n">
        <v>46217</v>
      </c>
      <c r="D1052" s="87" t="inlineStr">
        <is>
          <t>BEATRIZ BELLINI BATISTELLI</t>
        </is>
      </c>
      <c r="E1052" s="87" t="inlineStr">
        <is>
          <t>Azul</t>
        </is>
      </c>
      <c r="F1052" s="87" t="inlineStr">
        <is>
          <t>John</t>
        </is>
      </c>
      <c r="G1052" s="87" t="inlineStr">
        <is>
          <t>M</t>
        </is>
      </c>
      <c r="H1052" s="78" t="n">
        <v>5511949858586</v>
      </c>
      <c r="I1052" s="87" t="inlineStr">
        <is>
          <t>Novo</t>
        </is>
      </c>
      <c r="J1052" s="87" t="inlineStr">
        <is>
          <t>Assinado</t>
        </is>
      </c>
      <c r="K1052" s="60" t="n">
        <v>46220</v>
      </c>
      <c r="L1052" s="87">
        <f>TEXT(A1052,"mmmm")</f>
        <v/>
      </c>
    </row>
    <row r="1053">
      <c r="A1053" s="60" t="n">
        <v>46211</v>
      </c>
      <c r="B1053" s="60" t="n">
        <v>46214</v>
      </c>
      <c r="C1053" s="60" t="n">
        <v>46217</v>
      </c>
      <c r="D1053" s="87" t="inlineStr">
        <is>
          <t>PAULO ROBERTO MORAES DA</t>
        </is>
      </c>
      <c r="E1053" s="87" t="inlineStr">
        <is>
          <t>Mapfre</t>
        </is>
      </c>
      <c r="F1053" s="87" t="inlineStr">
        <is>
          <t>Myrelle</t>
        </is>
      </c>
      <c r="G1053" s="87" t="inlineStr">
        <is>
          <t>F</t>
        </is>
      </c>
      <c r="H1053" s="78" t="n">
        <v>5519982025248</v>
      </c>
      <c r="I1053" s="87" t="inlineStr">
        <is>
          <t>Novo</t>
        </is>
      </c>
      <c r="J1053" s="87" t="inlineStr">
        <is>
          <t>Cancelado</t>
        </is>
      </c>
      <c r="K1053" s="60" t="n">
        <v>46220</v>
      </c>
      <c r="L1053" s="87">
        <f>TEXT(A1053,"mmmm")</f>
        <v/>
      </c>
    </row>
    <row r="1054">
      <c r="A1054" s="60" t="n">
        <v>46211</v>
      </c>
      <c r="B1054" s="60" t="n">
        <v>46214</v>
      </c>
      <c r="C1054" s="60" t="n">
        <v>46217</v>
      </c>
      <c r="D1054" s="87" t="inlineStr">
        <is>
          <t>GILVAN MARIANO DOS SANTOS</t>
        </is>
      </c>
      <c r="E1054" s="87" t="inlineStr">
        <is>
          <t>Porto</t>
        </is>
      </c>
      <c r="F1054" s="87" t="inlineStr">
        <is>
          <t>John</t>
        </is>
      </c>
      <c r="G1054" s="87" t="inlineStr">
        <is>
          <t>M</t>
        </is>
      </c>
      <c r="H1054" s="78" t="n">
        <v>5511912498042</v>
      </c>
      <c r="I1054" s="87" t="inlineStr">
        <is>
          <t>Novo</t>
        </is>
      </c>
      <c r="J1054" s="87" t="inlineStr">
        <is>
          <t>Assinado</t>
        </is>
      </c>
      <c r="K1054" s="60" t="n">
        <v>46220</v>
      </c>
      <c r="L1054" s="87">
        <f>TEXT(A1054,"mmmm")</f>
        <v/>
      </c>
    </row>
    <row r="1055">
      <c r="A1055" s="60" t="n">
        <v>46211</v>
      </c>
      <c r="B1055" s="60" t="n">
        <v>46214</v>
      </c>
      <c r="C1055" s="60" t="n">
        <v>46217</v>
      </c>
      <c r="D1055" s="87" t="inlineStr">
        <is>
          <t>DOMINGOS SABINO RAMOS</t>
        </is>
      </c>
      <c r="E1055" s="87" t="inlineStr">
        <is>
          <t>Tokio</t>
        </is>
      </c>
      <c r="F1055" s="87" t="inlineStr">
        <is>
          <t>John</t>
        </is>
      </c>
      <c r="G1055" s="87" t="inlineStr">
        <is>
          <t>M</t>
        </is>
      </c>
      <c r="H1055" s="78" t="n">
        <v>5511941547044</v>
      </c>
      <c r="I1055" s="87" t="inlineStr">
        <is>
          <t>Novo</t>
        </is>
      </c>
      <c r="J1055" s="87" t="inlineStr">
        <is>
          <t>Assinado</t>
        </is>
      </c>
      <c r="K1055" s="60" t="n">
        <v>46220</v>
      </c>
      <c r="L1055" s="87">
        <f>TEXT(A1055,"mmmm")</f>
        <v/>
      </c>
    </row>
    <row r="1056">
      <c r="A1056" s="60" t="n">
        <v>46211</v>
      </c>
      <c r="B1056" s="60" t="n">
        <v>46214</v>
      </c>
      <c r="C1056" s="60" t="n">
        <v>46217</v>
      </c>
      <c r="D1056" s="87" t="inlineStr">
        <is>
          <t>EDGAR ENOQUE DOS SANTOS</t>
        </is>
      </c>
      <c r="E1056" s="87" t="inlineStr">
        <is>
          <t>Tokio</t>
        </is>
      </c>
      <c r="F1056" s="87" t="inlineStr">
        <is>
          <t>Leticia</t>
        </is>
      </c>
      <c r="G1056" s="87" t="inlineStr">
        <is>
          <t>F</t>
        </is>
      </c>
      <c r="H1056" s="78" t="n">
        <v>5511984459567</v>
      </c>
      <c r="I1056" s="87" t="inlineStr">
        <is>
          <t>Novo</t>
        </is>
      </c>
      <c r="J1056" s="87" t="inlineStr">
        <is>
          <t>Na planilha</t>
        </is>
      </c>
      <c r="K1056" s="60" t="n">
        <v>46220</v>
      </c>
      <c r="L1056" s="87">
        <f>TEXT(A1056,"mmmm")</f>
        <v/>
      </c>
    </row>
    <row r="1057">
      <c r="A1057" s="60" t="n">
        <v>46211</v>
      </c>
      <c r="B1057" s="60" t="n">
        <v>46214</v>
      </c>
      <c r="C1057" s="60" t="n">
        <v>46217</v>
      </c>
      <c r="D1057" s="87" t="inlineStr">
        <is>
          <t>NAIARA ALVES DE PINHO BRAGA SOARES</t>
        </is>
      </c>
      <c r="E1057" s="87" t="inlineStr">
        <is>
          <t>Azul</t>
        </is>
      </c>
      <c r="F1057" s="87" t="inlineStr">
        <is>
          <t>Isabella</t>
        </is>
      </c>
      <c r="G1057" s="87" t="inlineStr">
        <is>
          <t>F</t>
        </is>
      </c>
      <c r="H1057" s="78" t="n">
        <v>5531994589662</v>
      </c>
      <c r="I1057" s="87" t="inlineStr">
        <is>
          <t>Novo</t>
        </is>
      </c>
      <c r="J1057" s="87" t="inlineStr">
        <is>
          <t>Assinado</t>
        </is>
      </c>
      <c r="K1057" s="60" t="n">
        <v>46220</v>
      </c>
      <c r="L1057" s="87">
        <f>TEXT(A1057,"mmmm")</f>
        <v/>
      </c>
    </row>
    <row r="1058">
      <c r="A1058" s="60" t="n">
        <v>46211</v>
      </c>
      <c r="B1058" s="60" t="n">
        <v>46214</v>
      </c>
      <c r="C1058" s="60" t="n">
        <v>46217</v>
      </c>
      <c r="D1058" s="87" t="inlineStr">
        <is>
          <t>ALMIR JOSE MIGUEL</t>
        </is>
      </c>
      <c r="E1058" s="87" t="inlineStr">
        <is>
          <t>Porto</t>
        </is>
      </c>
      <c r="F1058" s="87" t="inlineStr">
        <is>
          <t>Myrelle</t>
        </is>
      </c>
      <c r="G1058" s="87" t="inlineStr">
        <is>
          <t>F</t>
        </is>
      </c>
      <c r="H1058" s="78" t="n">
        <v>5511945571535</v>
      </c>
      <c r="I1058" s="87" t="inlineStr">
        <is>
          <t>Novo</t>
        </is>
      </c>
      <c r="J1058" s="87" t="inlineStr">
        <is>
          <t>Cancelado</t>
        </is>
      </c>
      <c r="K1058" s="60" t="n">
        <v>46220</v>
      </c>
      <c r="L1058" s="87">
        <f>TEXT(A1058,"mmmm")</f>
        <v/>
      </c>
    </row>
    <row r="1059">
      <c r="A1059" s="60" t="n">
        <v>46211</v>
      </c>
      <c r="B1059" s="60" t="n">
        <v>46214</v>
      </c>
      <c r="C1059" s="60" t="n">
        <v>46217</v>
      </c>
      <c r="D1059" s="87" t="inlineStr">
        <is>
          <t>BRUNA VIEIRA SILVA</t>
        </is>
      </c>
      <c r="E1059" s="87" t="inlineStr">
        <is>
          <t>Azul</t>
        </is>
      </c>
      <c r="F1059" s="87" t="inlineStr">
        <is>
          <t>John</t>
        </is>
      </c>
      <c r="G1059" s="87" t="inlineStr">
        <is>
          <t>M</t>
        </is>
      </c>
      <c r="H1059" s="78" t="n">
        <v>5511996575985</v>
      </c>
      <c r="I1059" s="87" t="inlineStr">
        <is>
          <t>Novo</t>
        </is>
      </c>
      <c r="J1059" s="87" t="inlineStr">
        <is>
          <t>Assinado</t>
        </is>
      </c>
      <c r="K1059" s="60" t="n">
        <v>46220</v>
      </c>
      <c r="L1059" s="87">
        <f>TEXT(A1059,"mmmm")</f>
        <v/>
      </c>
    </row>
    <row r="1060">
      <c r="A1060" s="60" t="n">
        <v>46211</v>
      </c>
      <c r="B1060" s="60" t="n">
        <v>46214</v>
      </c>
      <c r="C1060" s="60" t="n">
        <v>46217</v>
      </c>
      <c r="D1060" s="87" t="inlineStr">
        <is>
          <t>CINTIA CARLA DOS SANTOS</t>
        </is>
      </c>
      <c r="E1060" s="87" t="inlineStr">
        <is>
          <t>Suhai</t>
        </is>
      </c>
      <c r="F1060" s="87" t="inlineStr">
        <is>
          <t>John</t>
        </is>
      </c>
      <c r="G1060" s="87" t="inlineStr">
        <is>
          <t>M</t>
        </is>
      </c>
      <c r="H1060" s="78" t="n">
        <v>5511950266874</v>
      </c>
      <c r="I1060" s="87" t="inlineStr">
        <is>
          <t>Novo</t>
        </is>
      </c>
      <c r="J1060" s="87" t="inlineStr">
        <is>
          <t>Erro</t>
        </is>
      </c>
      <c r="K1060" s="60" t="n">
        <v>46220</v>
      </c>
      <c r="L1060" s="87">
        <f>TEXT(A1060,"mmmm")</f>
        <v/>
      </c>
    </row>
    <row r="1061">
      <c r="A1061" s="60" t="n">
        <v>46211</v>
      </c>
      <c r="B1061" s="60" t="n">
        <v>46214</v>
      </c>
      <c r="C1061" s="60" t="n">
        <v>46217</v>
      </c>
      <c r="D1061" s="87" t="inlineStr">
        <is>
          <t>FRANCINY NOGUEIRA CAMARA DE FREITAS</t>
        </is>
      </c>
      <c r="E1061" s="87" t="inlineStr">
        <is>
          <t>Suhai</t>
        </is>
      </c>
      <c r="F1061" s="87" t="inlineStr">
        <is>
          <t>John</t>
        </is>
      </c>
      <c r="G1061" s="87" t="inlineStr">
        <is>
          <t>M</t>
        </is>
      </c>
      <c r="H1061" s="78" t="n">
        <v>5513991632030</v>
      </c>
      <c r="I1061" s="87" t="inlineStr">
        <is>
          <t>Renovação</t>
        </is>
      </c>
      <c r="J1061" s="87" t="inlineStr">
        <is>
          <t>Na planilha</t>
        </is>
      </c>
      <c r="K1061" s="60" t="n">
        <v>46220</v>
      </c>
      <c r="L1061" s="87">
        <f>TEXT(A1061,"mmmm")</f>
        <v/>
      </c>
    </row>
    <row r="1062">
      <c r="A1062" s="60" t="n">
        <v>46216</v>
      </c>
      <c r="B1062" s="60" t="n">
        <v>46219</v>
      </c>
      <c r="C1062" s="60" t="n">
        <v>46222</v>
      </c>
      <c r="D1062" s="87" t="inlineStr">
        <is>
          <t>NEY MATTOS FERREIRA NETO</t>
        </is>
      </c>
      <c r="E1062" s="87" t="inlineStr">
        <is>
          <t>Allianz</t>
        </is>
      </c>
      <c r="F1062" s="87" t="inlineStr">
        <is>
          <t>John</t>
        </is>
      </c>
      <c r="G1062" s="87" t="inlineStr">
        <is>
          <t>M</t>
        </is>
      </c>
      <c r="H1062" s="78" t="n">
        <v>5512996346994</v>
      </c>
      <c r="I1062" s="87" t="inlineStr">
        <is>
          <t>Renovação</t>
        </is>
      </c>
      <c r="J1062" s="87" t="inlineStr">
        <is>
          <t>Assinado</t>
        </is>
      </c>
      <c r="K1062" s="60" t="n">
        <v>46225</v>
      </c>
      <c r="L1062" s="87">
        <f>TEXT(A1062,"mmmm")</f>
        <v/>
      </c>
    </row>
    <row r="1063">
      <c r="A1063" s="60" t="n">
        <v>46216</v>
      </c>
      <c r="B1063" s="60" t="n">
        <v>46219</v>
      </c>
      <c r="C1063" s="60" t="n">
        <v>46222</v>
      </c>
      <c r="D1063" s="87" t="inlineStr">
        <is>
          <t>MARCIO HENRIQUE DE MORAIS</t>
        </is>
      </c>
      <c r="E1063" s="87" t="inlineStr">
        <is>
          <t>Tokio</t>
        </is>
      </c>
      <c r="F1063" s="87" t="inlineStr">
        <is>
          <t>John</t>
        </is>
      </c>
      <c r="G1063" s="87" t="inlineStr">
        <is>
          <t>M</t>
        </is>
      </c>
      <c r="H1063" s="78" t="n">
        <v>5535984731727</v>
      </c>
      <c r="I1063" s="87" t="inlineStr">
        <is>
          <t>Renovação</t>
        </is>
      </c>
      <c r="J1063" s="87" t="inlineStr">
        <is>
          <t>Assinado</t>
        </is>
      </c>
      <c r="K1063" s="60" t="n">
        <v>46225</v>
      </c>
      <c r="L1063" s="87">
        <f>TEXT(A1063,"mmmm")</f>
        <v/>
      </c>
    </row>
    <row r="1064">
      <c r="A1064" s="60" t="n">
        <v>46216</v>
      </c>
      <c r="B1064" s="60" t="n">
        <v>46219</v>
      </c>
      <c r="C1064" s="60" t="n">
        <v>46222</v>
      </c>
      <c r="D1064" s="87" t="inlineStr">
        <is>
          <t>ANDRE MIRANDA VIEIRA</t>
        </is>
      </c>
      <c r="E1064" s="87" t="inlineStr">
        <is>
          <t>Porto</t>
        </is>
      </c>
      <c r="F1064" s="87" t="inlineStr">
        <is>
          <t>John</t>
        </is>
      </c>
      <c r="G1064" s="87" t="inlineStr">
        <is>
          <t>M</t>
        </is>
      </c>
      <c r="H1064" s="78" t="n">
        <v>5511941010819</v>
      </c>
      <c r="I1064" s="87" t="inlineStr">
        <is>
          <t>Renovação</t>
        </is>
      </c>
      <c r="J1064" s="87" t="inlineStr">
        <is>
          <t>Assinado</t>
        </is>
      </c>
      <c r="K1064" s="60" t="n">
        <v>46225</v>
      </c>
      <c r="L1064" s="87">
        <f>TEXT(A1064,"mmmm")</f>
        <v/>
      </c>
    </row>
    <row r="1065">
      <c r="A1065" s="60" t="n">
        <v>46216</v>
      </c>
      <c r="B1065" s="60" t="n">
        <v>46219</v>
      </c>
      <c r="C1065" s="60" t="n">
        <v>46222</v>
      </c>
      <c r="D1065" s="87" t="inlineStr">
        <is>
          <t>JOSE AILTON DA SILVA</t>
        </is>
      </c>
      <c r="E1065" s="87" t="inlineStr">
        <is>
          <t>Suhai</t>
        </is>
      </c>
      <c r="F1065" s="87" t="inlineStr">
        <is>
          <t>John</t>
        </is>
      </c>
      <c r="G1065" s="87" t="inlineStr">
        <is>
          <t>M</t>
        </is>
      </c>
      <c r="H1065" s="78" t="n">
        <v>5511984015073</v>
      </c>
      <c r="I1065" s="87" t="inlineStr">
        <is>
          <t>Renovação</t>
        </is>
      </c>
      <c r="J1065" s="87" t="inlineStr">
        <is>
          <t>Assinado</t>
        </is>
      </c>
      <c r="K1065" s="60" t="n">
        <v>46225</v>
      </c>
      <c r="L1065" s="87">
        <f>TEXT(A1065,"mmmm")</f>
        <v/>
      </c>
    </row>
    <row r="1066">
      <c r="A1066" s="60" t="n">
        <v>46216</v>
      </c>
      <c r="B1066" s="60" t="n">
        <v>46219</v>
      </c>
      <c r="C1066" s="60" t="n">
        <v>46222</v>
      </c>
      <c r="D1066" s="87" t="inlineStr">
        <is>
          <t>KELLY CRISTINA BARBARA DA SILVA</t>
        </is>
      </c>
      <c r="E1066" s="87" t="inlineStr">
        <is>
          <t>Azul</t>
        </is>
      </c>
      <c r="F1066" s="87" t="inlineStr">
        <is>
          <t>John</t>
        </is>
      </c>
      <c r="G1066" s="87" t="inlineStr">
        <is>
          <t>M</t>
        </is>
      </c>
      <c r="H1066" s="78" t="n">
        <v>5512992432294</v>
      </c>
      <c r="I1066" s="87" t="inlineStr">
        <is>
          <t>Novo</t>
        </is>
      </c>
      <c r="J1066" s="87" t="inlineStr">
        <is>
          <t>Assinado</t>
        </is>
      </c>
      <c r="K1066" s="60" t="n">
        <v>46225</v>
      </c>
      <c r="L1066" s="87">
        <f>TEXT(A1066,"mmmm")</f>
        <v/>
      </c>
    </row>
    <row r="1067">
      <c r="A1067" s="60" t="n">
        <v>46216</v>
      </c>
      <c r="B1067" s="60" t="n">
        <v>46219</v>
      </c>
      <c r="C1067" s="60" t="n">
        <v>46222</v>
      </c>
      <c r="D1067" s="87" t="inlineStr">
        <is>
          <t>JOAQUIM AFFONSO DOS SANTOS</t>
        </is>
      </c>
      <c r="E1067" s="87" t="inlineStr">
        <is>
          <t>Azul</t>
        </is>
      </c>
      <c r="F1067" s="87" t="inlineStr">
        <is>
          <t>John</t>
        </is>
      </c>
      <c r="G1067" s="87" t="inlineStr">
        <is>
          <t>M</t>
        </is>
      </c>
      <c r="H1067" s="78" t="n">
        <v>5516997304386</v>
      </c>
      <c r="I1067" s="87" t="inlineStr">
        <is>
          <t>Renovação</t>
        </is>
      </c>
      <c r="J1067" s="87" t="inlineStr">
        <is>
          <t>Assinado</t>
        </is>
      </c>
      <c r="K1067" s="60" t="n">
        <v>46225</v>
      </c>
      <c r="L1067" s="87">
        <f>TEXT(A1067,"mmmm")</f>
        <v/>
      </c>
    </row>
    <row r="1068">
      <c r="A1068" s="60" t="n">
        <v>46216</v>
      </c>
      <c r="B1068" s="60" t="n">
        <v>46219</v>
      </c>
      <c r="C1068" s="60" t="n">
        <v>46222</v>
      </c>
      <c r="D1068" s="87" t="inlineStr">
        <is>
          <t>CLAUDIOMIR BRUCK</t>
        </is>
      </c>
      <c r="E1068" s="87" t="inlineStr">
        <is>
          <t>Allianz</t>
        </is>
      </c>
      <c r="F1068" s="87" t="inlineStr">
        <is>
          <t>John</t>
        </is>
      </c>
      <c r="G1068" s="87" t="inlineStr">
        <is>
          <t>M</t>
        </is>
      </c>
      <c r="H1068" s="78" t="n">
        <v>5511960332183</v>
      </c>
      <c r="I1068" s="87" t="inlineStr">
        <is>
          <t>Novo</t>
        </is>
      </c>
      <c r="J1068" s="87" t="inlineStr">
        <is>
          <t>Assinado</t>
        </is>
      </c>
      <c r="K1068" s="60" t="n">
        <v>46225</v>
      </c>
      <c r="L1068" s="87">
        <f>TEXT(A1068,"mmmm")</f>
        <v/>
      </c>
    </row>
    <row r="1069">
      <c r="A1069" s="60" t="n">
        <v>46216</v>
      </c>
      <c r="B1069" s="60" t="n">
        <v>46219</v>
      </c>
      <c r="C1069" s="60" t="n">
        <v>46222</v>
      </c>
      <c r="D1069" s="87" t="inlineStr">
        <is>
          <t>JOSE EDENILSON SILVA DOS SANTOS</t>
        </is>
      </c>
      <c r="E1069" s="87" t="inlineStr">
        <is>
          <t>Suhai</t>
        </is>
      </c>
      <c r="F1069" s="87" t="inlineStr">
        <is>
          <t>Isabella</t>
        </is>
      </c>
      <c r="G1069" s="87" t="inlineStr">
        <is>
          <t>F</t>
        </is>
      </c>
      <c r="H1069" s="78" t="n">
        <v>5511959643712</v>
      </c>
      <c r="I1069" s="87" t="inlineStr">
        <is>
          <t>Novo</t>
        </is>
      </c>
      <c r="J1069" s="87" t="inlineStr">
        <is>
          <t>Na planilha</t>
        </is>
      </c>
      <c r="K1069" s="60" t="n">
        <v>46225</v>
      </c>
      <c r="L1069" s="87">
        <f>TEXT(A1069,"mmmm")</f>
        <v/>
      </c>
    </row>
    <row r="1070">
      <c r="A1070" s="60" t="n">
        <v>46216</v>
      </c>
      <c r="B1070" s="60" t="n">
        <v>46219</v>
      </c>
      <c r="C1070" s="60" t="n">
        <v>46222</v>
      </c>
      <c r="D1070" s="87" t="inlineStr">
        <is>
          <t>DANILO SANTOS ALMEIDA</t>
        </is>
      </c>
      <c r="E1070" s="87" t="inlineStr">
        <is>
          <t>Azul</t>
        </is>
      </c>
      <c r="F1070" s="87" t="inlineStr">
        <is>
          <t>Jacqueline</t>
        </is>
      </c>
      <c r="G1070" s="87" t="inlineStr">
        <is>
          <t>F</t>
        </is>
      </c>
      <c r="H1070" s="78" t="n">
        <v>5516993549707</v>
      </c>
      <c r="I1070" s="87" t="inlineStr">
        <is>
          <t>Novo</t>
        </is>
      </c>
      <c r="J1070" s="87" t="inlineStr">
        <is>
          <t>Assinado</t>
        </is>
      </c>
      <c r="K1070" s="60" t="n">
        <v>46225</v>
      </c>
      <c r="L1070" s="87">
        <f>TEXT(A1070,"mmmm")</f>
        <v/>
      </c>
    </row>
    <row r="1071">
      <c r="A1071" s="60" t="n">
        <v>46216</v>
      </c>
      <c r="B1071" s="60" t="n">
        <v>46219</v>
      </c>
      <c r="C1071" s="60" t="n">
        <v>46222</v>
      </c>
      <c r="D1071" s="87" t="inlineStr">
        <is>
          <t>LETICIA TERRA ROSA</t>
        </is>
      </c>
      <c r="E1071" s="87" t="inlineStr">
        <is>
          <t>Suhai</t>
        </is>
      </c>
      <c r="F1071" s="87" t="inlineStr">
        <is>
          <t>Jacqueline</t>
        </is>
      </c>
      <c r="G1071" s="87" t="inlineStr">
        <is>
          <t>F</t>
        </is>
      </c>
      <c r="H1071" s="78" t="n">
        <v>5551981149069</v>
      </c>
      <c r="I1071" s="87" t="inlineStr">
        <is>
          <t>Novo</t>
        </is>
      </c>
      <c r="J1071" s="87" t="inlineStr">
        <is>
          <t>Assinado</t>
        </is>
      </c>
      <c r="K1071" s="60" t="n">
        <v>46225</v>
      </c>
      <c r="L1071" s="87">
        <f>TEXT(A1071,"mmmm")</f>
        <v/>
      </c>
    </row>
    <row r="1072">
      <c r="A1072" s="60" t="n">
        <v>46216</v>
      </c>
      <c r="B1072" s="60" t="n">
        <v>46219</v>
      </c>
      <c r="C1072" s="60" t="n">
        <v>46222</v>
      </c>
      <c r="D1072" s="87" t="inlineStr">
        <is>
          <t>DANIEL SANTIAGO SOTERO</t>
        </is>
      </c>
      <c r="E1072" s="87" t="inlineStr">
        <is>
          <t>Allianz</t>
        </is>
      </c>
      <c r="F1072" s="87" t="inlineStr">
        <is>
          <t>Leticia</t>
        </is>
      </c>
      <c r="G1072" s="87" t="inlineStr">
        <is>
          <t>F</t>
        </is>
      </c>
      <c r="H1072" s="78" t="n">
        <v>5511983959193</v>
      </c>
      <c r="I1072" s="87" t="inlineStr">
        <is>
          <t>Novo</t>
        </is>
      </c>
      <c r="J1072" s="87" t="inlineStr">
        <is>
          <t>Na planilha</t>
        </is>
      </c>
      <c r="K1072" s="60" t="n">
        <v>46225</v>
      </c>
      <c r="L1072" s="87">
        <f>TEXT(A1072,"mmmm")</f>
        <v/>
      </c>
    </row>
    <row r="1073">
      <c r="A1073" s="60" t="n">
        <v>46216</v>
      </c>
      <c r="B1073" s="60" t="n">
        <v>46219</v>
      </c>
      <c r="C1073" s="60" t="n">
        <v>46222</v>
      </c>
      <c r="D1073" s="87" t="inlineStr">
        <is>
          <t>VICTOR ALONSO ROTTA</t>
        </is>
      </c>
      <c r="E1073" s="87" t="inlineStr">
        <is>
          <t>Tokio</t>
        </is>
      </c>
      <c r="F1073" s="87" t="inlineStr">
        <is>
          <t>Leticia</t>
        </is>
      </c>
      <c r="G1073" s="87" t="inlineStr">
        <is>
          <t>F</t>
        </is>
      </c>
      <c r="H1073" s="78" t="n">
        <v>5511970757225</v>
      </c>
      <c r="I1073" s="87" t="inlineStr">
        <is>
          <t>Novo</t>
        </is>
      </c>
      <c r="J1073" s="87" t="inlineStr">
        <is>
          <t>Assinado</t>
        </is>
      </c>
      <c r="K1073" s="60" t="n">
        <v>46225</v>
      </c>
      <c r="L1073" s="87">
        <f>TEXT(A1073,"mmmm")</f>
        <v/>
      </c>
    </row>
    <row r="1074">
      <c r="A1074" s="60" t="n">
        <v>46216</v>
      </c>
      <c r="B1074" s="60" t="n">
        <v>46219</v>
      </c>
      <c r="C1074" s="60" t="n">
        <v>46222</v>
      </c>
      <c r="D1074" s="87" t="inlineStr">
        <is>
          <t>REINIVALDO SILVA DOS SANTOS</t>
        </is>
      </c>
      <c r="E1074" s="87" t="inlineStr">
        <is>
          <t>Suhai</t>
        </is>
      </c>
      <c r="F1074" s="87" t="inlineStr">
        <is>
          <t>Myrelle</t>
        </is>
      </c>
      <c r="G1074" s="87" t="inlineStr">
        <is>
          <t>F</t>
        </is>
      </c>
      <c r="H1074" s="78" t="n">
        <v>5511976043536</v>
      </c>
      <c r="I1074" s="87" t="inlineStr">
        <is>
          <t>Novo</t>
        </is>
      </c>
      <c r="J1074" s="87" t="inlineStr">
        <is>
          <t>Cancelado</t>
        </is>
      </c>
      <c r="K1074" s="60" t="n">
        <v>46225</v>
      </c>
      <c r="L1074" s="87">
        <f>TEXT(A1074,"mmmm")</f>
        <v/>
      </c>
    </row>
    <row r="1075">
      <c r="A1075" s="60" t="n">
        <v>46216</v>
      </c>
      <c r="B1075" s="60" t="n">
        <v>46219</v>
      </c>
      <c r="C1075" s="60" t="n">
        <v>46222</v>
      </c>
      <c r="D1075" s="87" t="inlineStr">
        <is>
          <t>RODRIGO DE ANDRADE DA SILVA</t>
        </is>
      </c>
      <c r="E1075" s="87" t="inlineStr">
        <is>
          <t>Suhai</t>
        </is>
      </c>
      <c r="F1075" s="87" t="inlineStr">
        <is>
          <t>Jéssica</t>
        </is>
      </c>
      <c r="G1075" s="87" t="inlineStr">
        <is>
          <t>F</t>
        </is>
      </c>
      <c r="H1075" s="78" t="n">
        <v>5519998320527</v>
      </c>
      <c r="I1075" s="87" t="inlineStr">
        <is>
          <t>Novo</t>
        </is>
      </c>
      <c r="J1075" s="87" t="inlineStr">
        <is>
          <t>Assinado</t>
        </is>
      </c>
      <c r="K1075" s="60" t="n">
        <v>46225</v>
      </c>
      <c r="L1075" s="87">
        <f>TEXT(A1075,"mmmm")</f>
        <v/>
      </c>
    </row>
    <row r="1076">
      <c r="A1076" s="60" t="n">
        <v>46216</v>
      </c>
      <c r="B1076" s="60" t="n">
        <v>46219</v>
      </c>
      <c r="C1076" s="60" t="n">
        <v>46222</v>
      </c>
      <c r="D1076" s="87" t="inlineStr">
        <is>
          <t>EDSON DOS REIS</t>
        </is>
      </c>
      <c r="E1076" s="87" t="inlineStr">
        <is>
          <t>Azul</t>
        </is>
      </c>
      <c r="F1076" s="87" t="inlineStr">
        <is>
          <t>John</t>
        </is>
      </c>
      <c r="G1076" s="87" t="inlineStr">
        <is>
          <t>M</t>
        </is>
      </c>
      <c r="H1076" s="75" t="n">
        <v>5511986929159</v>
      </c>
      <c r="I1076" s="87" t="inlineStr">
        <is>
          <t>Novo</t>
        </is>
      </c>
      <c r="J1076" s="87" t="inlineStr">
        <is>
          <t>Assinado(manual)</t>
        </is>
      </c>
      <c r="K1076" s="60" t="n">
        <v>46225</v>
      </c>
      <c r="L1076" s="87">
        <f>TEXT(A1076,"mmmm")</f>
        <v/>
      </c>
    </row>
    <row r="1077">
      <c r="A1077" s="60" t="n">
        <v>46216</v>
      </c>
      <c r="B1077" s="60" t="n">
        <v>46219</v>
      </c>
      <c r="C1077" s="60" t="n">
        <v>46222</v>
      </c>
      <c r="D1077" s="87" t="inlineStr">
        <is>
          <t>HENRIQUE FELIX DA SILVA VIANA</t>
        </is>
      </c>
      <c r="E1077" s="87" t="inlineStr">
        <is>
          <t>Azul</t>
        </is>
      </c>
      <c r="F1077" s="87" t="inlineStr">
        <is>
          <t>Jacqueline</t>
        </is>
      </c>
      <c r="G1077" s="87" t="inlineStr">
        <is>
          <t>F</t>
        </is>
      </c>
      <c r="H1077" s="78" t="n">
        <v>5511961176167</v>
      </c>
      <c r="I1077" s="87" t="inlineStr">
        <is>
          <t>Novo</t>
        </is>
      </c>
      <c r="J1077" s="87" t="inlineStr">
        <is>
          <t>Assinado</t>
        </is>
      </c>
      <c r="K1077" s="60" t="n">
        <v>46225</v>
      </c>
      <c r="L1077" s="87">
        <f>TEXT(A1077,"mmmm")</f>
        <v/>
      </c>
    </row>
    <row r="1078">
      <c r="A1078" s="60" t="n">
        <v>46216</v>
      </c>
      <c r="B1078" s="60" t="n">
        <v>46219</v>
      </c>
      <c r="C1078" s="60" t="n">
        <v>46222</v>
      </c>
      <c r="D1078" s="87" t="inlineStr">
        <is>
          <t>KATHERYNE RIBEIRO VIEIRA</t>
        </is>
      </c>
      <c r="E1078" s="87" t="inlineStr">
        <is>
          <t>Azul</t>
        </is>
      </c>
      <c r="F1078" s="87" t="inlineStr">
        <is>
          <t>Jacqueline</t>
        </is>
      </c>
      <c r="G1078" s="87" t="inlineStr">
        <is>
          <t>F</t>
        </is>
      </c>
      <c r="H1078" s="78" t="n">
        <v>5581983306991</v>
      </c>
      <c r="I1078" s="87" t="inlineStr">
        <is>
          <t>Novo</t>
        </is>
      </c>
      <c r="J1078" s="87" t="inlineStr">
        <is>
          <t>Na planilha</t>
        </is>
      </c>
      <c r="K1078" s="60" t="n">
        <v>46225</v>
      </c>
      <c r="L1078" s="87">
        <f>TEXT(A1078,"mmmm")</f>
        <v/>
      </c>
    </row>
    <row r="1079">
      <c r="A1079" s="60" t="n">
        <v>46216</v>
      </c>
      <c r="B1079" s="60" t="n">
        <v>46219</v>
      </c>
      <c r="C1079" s="60" t="n">
        <v>46222</v>
      </c>
      <c r="D1079" s="87" t="inlineStr">
        <is>
          <t>TAINA SILVA FONSECA TRINDADE</t>
        </is>
      </c>
      <c r="E1079" s="87" t="inlineStr">
        <is>
          <t>Azul</t>
        </is>
      </c>
      <c r="F1079" s="87" t="inlineStr">
        <is>
          <t>Jacqueline</t>
        </is>
      </c>
      <c r="G1079" s="87" t="inlineStr">
        <is>
          <t>F</t>
        </is>
      </c>
      <c r="H1079" s="78" t="n">
        <v>5511951997699</v>
      </c>
      <c r="I1079" s="87" t="inlineStr">
        <is>
          <t>Novo</t>
        </is>
      </c>
      <c r="J1079" s="87" t="inlineStr">
        <is>
          <t>Assinado</t>
        </is>
      </c>
      <c r="K1079" s="60" t="n">
        <v>46225</v>
      </c>
      <c r="L1079" s="87">
        <f>TEXT(A1079,"mmmm")</f>
        <v/>
      </c>
    </row>
    <row r="1080">
      <c r="A1080" s="60" t="n">
        <v>46216</v>
      </c>
      <c r="B1080" s="60" t="n">
        <v>46219</v>
      </c>
      <c r="C1080" s="60" t="n">
        <v>46222</v>
      </c>
      <c r="D1080" s="87" t="inlineStr">
        <is>
          <t>RICHARD FELIPE DE OLIVEIRA LOPES</t>
        </is>
      </c>
      <c r="E1080" s="87" t="inlineStr">
        <is>
          <t>Azul</t>
        </is>
      </c>
      <c r="F1080" s="87" t="inlineStr">
        <is>
          <t>Jacqueline</t>
        </is>
      </c>
      <c r="G1080" s="87" t="inlineStr">
        <is>
          <t>F</t>
        </is>
      </c>
      <c r="H1080" s="78" t="n">
        <v>5516981102432</v>
      </c>
      <c r="I1080" s="87" t="inlineStr">
        <is>
          <t>Novo</t>
        </is>
      </c>
      <c r="J1080" s="87" t="inlineStr">
        <is>
          <t>Na planilha</t>
        </is>
      </c>
      <c r="K1080" s="60" t="n">
        <v>46225</v>
      </c>
      <c r="L1080" s="87">
        <f>TEXT(A1080,"mmmm")</f>
        <v/>
      </c>
    </row>
    <row r="1081">
      <c r="A1081" s="60" t="n">
        <v>46217</v>
      </c>
      <c r="B1081" s="60" t="n">
        <v>46220</v>
      </c>
      <c r="C1081" s="60" t="n">
        <v>46223</v>
      </c>
      <c r="D1081" s="87" t="inlineStr">
        <is>
          <t>JARBAS MARTINS BATISTA</t>
        </is>
      </c>
      <c r="E1081" s="87" t="inlineStr">
        <is>
          <t>Suhai</t>
        </is>
      </c>
      <c r="F1081" s="87" t="inlineStr">
        <is>
          <t>Leticia</t>
        </is>
      </c>
      <c r="G1081" s="87" t="inlineStr">
        <is>
          <t>F</t>
        </is>
      </c>
      <c r="H1081" s="78" t="n">
        <v>5511913413739</v>
      </c>
      <c r="I1081" s="87" t="inlineStr">
        <is>
          <t>Novo</t>
        </is>
      </c>
      <c r="J1081" s="87" t="inlineStr">
        <is>
          <t>Assinado</t>
        </is>
      </c>
      <c r="K1081" s="60" t="n">
        <v>46226</v>
      </c>
      <c r="L1081" s="87">
        <f>TEXT(A1081,"mmmm")</f>
        <v/>
      </c>
    </row>
    <row r="1082">
      <c r="A1082" s="60" t="n">
        <v>46217</v>
      </c>
      <c r="B1082" s="60" t="n">
        <v>46220</v>
      </c>
      <c r="C1082" s="60" t="n">
        <v>46223</v>
      </c>
      <c r="D1082" s="87" t="inlineStr">
        <is>
          <t>ADRIANO ANDRE DA SILVA</t>
        </is>
      </c>
      <c r="E1082" s="87" t="inlineStr">
        <is>
          <t>Suhai</t>
        </is>
      </c>
      <c r="F1082" s="87" t="inlineStr">
        <is>
          <t>Leticia</t>
        </is>
      </c>
      <c r="G1082" s="87" t="inlineStr">
        <is>
          <t>F</t>
        </is>
      </c>
      <c r="H1082" s="78" t="n">
        <v>5511985819600</v>
      </c>
      <c r="I1082" s="87" t="inlineStr">
        <is>
          <t>Novo</t>
        </is>
      </c>
      <c r="J1082" s="87" t="inlineStr">
        <is>
          <t>Assinado</t>
        </is>
      </c>
      <c r="K1082" s="60" t="n">
        <v>46226</v>
      </c>
      <c r="L1082" s="87">
        <f>TEXT(A1082,"mmmm")</f>
        <v/>
      </c>
    </row>
    <row r="1083">
      <c r="A1083" s="60" t="n">
        <v>46217</v>
      </c>
      <c r="B1083" s="60" t="n">
        <v>46220</v>
      </c>
      <c r="C1083" s="60" t="n">
        <v>46223</v>
      </c>
      <c r="D1083" s="87" t="inlineStr">
        <is>
          <t>EUSTAQUIO RIBEIRO DE MELO</t>
        </is>
      </c>
      <c r="E1083" s="87" t="inlineStr">
        <is>
          <t>Suhai</t>
        </is>
      </c>
      <c r="F1083" s="87" t="inlineStr">
        <is>
          <t>Jacqueline</t>
        </is>
      </c>
      <c r="G1083" s="87" t="inlineStr">
        <is>
          <t>F</t>
        </is>
      </c>
      <c r="H1083" s="78" t="n">
        <v>5511973455096</v>
      </c>
      <c r="I1083" s="87" t="inlineStr">
        <is>
          <t>Novo</t>
        </is>
      </c>
      <c r="J1083" s="87" t="inlineStr">
        <is>
          <t>Assinado</t>
        </is>
      </c>
      <c r="K1083" s="60" t="n">
        <v>46226</v>
      </c>
      <c r="L1083" s="87">
        <f>TEXT(A1083,"mmmm")</f>
        <v/>
      </c>
    </row>
    <row r="1084">
      <c r="A1084" s="60" t="n">
        <v>46217</v>
      </c>
      <c r="B1084" s="60" t="n">
        <v>46220</v>
      </c>
      <c r="C1084" s="60" t="n">
        <v>46223</v>
      </c>
      <c r="D1084" s="87" t="inlineStr">
        <is>
          <t>JERCIONE GOMES</t>
        </is>
      </c>
      <c r="E1084" s="87" t="inlineStr">
        <is>
          <t>Azul</t>
        </is>
      </c>
      <c r="F1084" s="87" t="inlineStr">
        <is>
          <t>Myrelle</t>
        </is>
      </c>
      <c r="G1084" s="87" t="inlineStr">
        <is>
          <t>F</t>
        </is>
      </c>
      <c r="H1084" s="78" t="n">
        <v>5511961403707</v>
      </c>
      <c r="I1084" s="87" t="inlineStr">
        <is>
          <t>Novo</t>
        </is>
      </c>
      <c r="J1084" s="87" t="inlineStr">
        <is>
          <t>Assinado</t>
        </is>
      </c>
      <c r="K1084" s="60" t="n">
        <v>46226</v>
      </c>
      <c r="L1084" s="87">
        <f>TEXT(A1084,"mmmm")</f>
        <v/>
      </c>
    </row>
    <row r="1085">
      <c r="A1085" s="60" t="n">
        <v>46217</v>
      </c>
      <c r="B1085" s="60" t="n">
        <v>46220</v>
      </c>
      <c r="C1085" s="60" t="n">
        <v>46223</v>
      </c>
      <c r="D1085" s="87" t="inlineStr">
        <is>
          <t>SIDNEI DE PAULA OLIVEIRA</t>
        </is>
      </c>
      <c r="E1085" s="87" t="inlineStr">
        <is>
          <t>Itaú</t>
        </is>
      </c>
      <c r="F1085" s="87" t="inlineStr">
        <is>
          <t>Jacqueline</t>
        </is>
      </c>
      <c r="G1085" s="87" t="inlineStr">
        <is>
          <t>F</t>
        </is>
      </c>
      <c r="H1085" s="78" t="n">
        <v>5511992735148</v>
      </c>
      <c r="I1085" s="87" t="inlineStr">
        <is>
          <t>Novo</t>
        </is>
      </c>
      <c r="J1085" s="87" t="inlineStr">
        <is>
          <t>Assinado</t>
        </is>
      </c>
      <c r="K1085" s="60" t="n">
        <v>46226</v>
      </c>
      <c r="L1085" s="87">
        <f>TEXT(A1085,"mmmm")</f>
        <v/>
      </c>
    </row>
    <row r="1086">
      <c r="A1086" s="60" t="n">
        <v>46217</v>
      </c>
      <c r="B1086" s="60" t="n">
        <v>46220</v>
      </c>
      <c r="C1086" s="60" t="n">
        <v>46223</v>
      </c>
      <c r="D1086" s="87" t="inlineStr">
        <is>
          <t>VALDECI RODRIGUES BRAGA JUNIOR</t>
        </is>
      </c>
      <c r="E1086" s="87" t="inlineStr">
        <is>
          <t>Azul</t>
        </is>
      </c>
      <c r="F1086" s="87" t="inlineStr">
        <is>
          <t>Leticia</t>
        </is>
      </c>
      <c r="G1086" s="87" t="inlineStr">
        <is>
          <t>F</t>
        </is>
      </c>
      <c r="H1086" s="78" t="n">
        <v>5511994973625</v>
      </c>
      <c r="I1086" s="87" t="inlineStr">
        <is>
          <t>Novo</t>
        </is>
      </c>
      <c r="J1086" s="87" t="inlineStr">
        <is>
          <t>Assinado</t>
        </is>
      </c>
      <c r="K1086" s="60" t="n">
        <v>46226</v>
      </c>
      <c r="L1086" s="87">
        <f>TEXT(A1086,"mmmm")</f>
        <v/>
      </c>
    </row>
    <row r="1087">
      <c r="A1087" s="60" t="n">
        <v>46218</v>
      </c>
      <c r="B1087" s="60" t="n">
        <v>46221</v>
      </c>
      <c r="C1087" s="60" t="n">
        <v>46224</v>
      </c>
      <c r="D1087" s="87" t="inlineStr">
        <is>
          <t>THIAGO MARTINS DE SOUSA</t>
        </is>
      </c>
      <c r="E1087" s="87" t="inlineStr">
        <is>
          <t>Suhai</t>
        </is>
      </c>
      <c r="F1087" s="87" t="inlineStr">
        <is>
          <t>John</t>
        </is>
      </c>
      <c r="G1087" s="87" t="inlineStr">
        <is>
          <t>M</t>
        </is>
      </c>
      <c r="H1087" s="78" t="n">
        <v>5511985274546</v>
      </c>
      <c r="I1087" s="87" t="inlineStr">
        <is>
          <t>Renovação</t>
        </is>
      </c>
      <c r="J1087" s="87" t="inlineStr">
        <is>
          <t>Assinado</t>
        </is>
      </c>
      <c r="K1087" s="60" t="n">
        <v>46227</v>
      </c>
      <c r="L1087" s="87">
        <f>TEXT(A1087,"mmmm")</f>
        <v/>
      </c>
    </row>
    <row r="1088">
      <c r="A1088" s="60" t="n">
        <v>46218</v>
      </c>
      <c r="B1088" s="60" t="n">
        <v>46221</v>
      </c>
      <c r="C1088" s="60" t="n">
        <v>46224</v>
      </c>
      <c r="D1088" s="87" t="inlineStr">
        <is>
          <t>RAPHAEL LIMA GROPO</t>
        </is>
      </c>
      <c r="E1088" s="87" t="inlineStr">
        <is>
          <t>Azul</t>
        </is>
      </c>
      <c r="F1088" s="87" t="inlineStr">
        <is>
          <t>John</t>
        </is>
      </c>
      <c r="G1088" s="87" t="inlineStr">
        <is>
          <t>M</t>
        </is>
      </c>
      <c r="H1088" s="78" t="n">
        <v>5511998822558</v>
      </c>
      <c r="I1088" s="87" t="inlineStr">
        <is>
          <t>Renovação</t>
        </is>
      </c>
      <c r="J1088" s="87" t="inlineStr">
        <is>
          <t>Assinado</t>
        </is>
      </c>
      <c r="K1088" s="60" t="n">
        <v>46227</v>
      </c>
      <c r="L1088" s="87">
        <f>TEXT(A1088,"mmmm")</f>
        <v/>
      </c>
    </row>
    <row r="1089">
      <c r="A1089" s="60" t="n">
        <v>46218</v>
      </c>
      <c r="B1089" s="60" t="n">
        <v>46221</v>
      </c>
      <c r="C1089" s="60" t="n">
        <v>46224</v>
      </c>
      <c r="D1089" s="87" t="inlineStr">
        <is>
          <t>THALITA APARECIDA CAMARA DE FREITAS</t>
        </is>
      </c>
      <c r="E1089" s="87" t="inlineStr">
        <is>
          <t>Porto</t>
        </is>
      </c>
      <c r="F1089" s="87" t="inlineStr">
        <is>
          <t>John</t>
        </is>
      </c>
      <c r="G1089" s="87" t="inlineStr">
        <is>
          <t>M</t>
        </is>
      </c>
      <c r="H1089" s="78" t="n">
        <v>5513991050130</v>
      </c>
      <c r="I1089" s="87" t="inlineStr">
        <is>
          <t>Renovação</t>
        </is>
      </c>
      <c r="J1089" s="87" t="inlineStr">
        <is>
          <t>Assinado</t>
        </is>
      </c>
      <c r="K1089" s="60" t="n">
        <v>46227</v>
      </c>
      <c r="L1089" s="87">
        <f>TEXT(A1089,"mmmm")</f>
        <v/>
      </c>
    </row>
    <row r="1090">
      <c r="A1090" s="60" t="n">
        <v>46218</v>
      </c>
      <c r="B1090" s="60" t="n">
        <v>46221</v>
      </c>
      <c r="C1090" s="60" t="n">
        <v>46224</v>
      </c>
      <c r="D1090" s="87" t="inlineStr">
        <is>
          <t>CRISLAINE PEREIRA DE SOUZA</t>
        </is>
      </c>
      <c r="E1090" s="87" t="inlineStr">
        <is>
          <t>Azul</t>
        </is>
      </c>
      <c r="F1090" s="87" t="inlineStr">
        <is>
          <t>John</t>
        </is>
      </c>
      <c r="G1090" s="87" t="inlineStr">
        <is>
          <t>M</t>
        </is>
      </c>
      <c r="H1090" s="78" t="n">
        <v>5511966443383</v>
      </c>
      <c r="I1090" s="87" t="inlineStr">
        <is>
          <t>Renovação</t>
        </is>
      </c>
      <c r="J1090" s="87" t="inlineStr">
        <is>
          <t>Assinado</t>
        </is>
      </c>
      <c r="K1090" s="60" t="n">
        <v>46227</v>
      </c>
      <c r="L1090" s="87">
        <f>TEXT(A1090,"mmmm")</f>
        <v/>
      </c>
    </row>
    <row r="1091">
      <c r="A1091" s="60" t="n">
        <v>46218</v>
      </c>
      <c r="B1091" s="60" t="n">
        <v>46221</v>
      </c>
      <c r="C1091" s="60" t="n">
        <v>46224</v>
      </c>
      <c r="D1091" s="87" t="inlineStr">
        <is>
          <t>ALESSANDRO ADAO DE ANDRADE</t>
        </is>
      </c>
      <c r="E1091" s="87" t="inlineStr">
        <is>
          <t>Azul</t>
        </is>
      </c>
      <c r="F1091" s="87" t="inlineStr">
        <is>
          <t>Jéssica</t>
        </is>
      </c>
      <c r="G1091" s="87" t="inlineStr">
        <is>
          <t>F</t>
        </is>
      </c>
      <c r="H1091" s="78" t="n">
        <v>5511975238228</v>
      </c>
      <c r="I1091" s="87" t="inlineStr">
        <is>
          <t>Novo</t>
        </is>
      </c>
      <c r="J1091" s="87" t="inlineStr">
        <is>
          <t>Assinado</t>
        </is>
      </c>
      <c r="K1091" s="60" t="n">
        <v>46227</v>
      </c>
      <c r="L1091" s="87">
        <f>TEXT(A1091,"mmmm")</f>
        <v/>
      </c>
    </row>
    <row r="1092">
      <c r="A1092" s="60" t="n">
        <v>46218</v>
      </c>
      <c r="B1092" s="60" t="n">
        <v>46221</v>
      </c>
      <c r="C1092" s="60" t="n">
        <v>46224</v>
      </c>
      <c r="D1092" s="87" t="inlineStr">
        <is>
          <t>LUCIANA BORGES CARVALHO</t>
        </is>
      </c>
      <c r="E1092" s="87" t="inlineStr">
        <is>
          <t>Mapfre</t>
        </is>
      </c>
      <c r="F1092" s="87" t="inlineStr">
        <is>
          <t>Jéssica</t>
        </is>
      </c>
      <c r="G1092" s="87" t="inlineStr">
        <is>
          <t>F</t>
        </is>
      </c>
      <c r="H1092" s="78" t="n">
        <v>5516993111120</v>
      </c>
      <c r="I1092" s="87" t="inlineStr">
        <is>
          <t>Novo</t>
        </is>
      </c>
      <c r="J1092" s="87" t="inlineStr">
        <is>
          <t>Assinado</t>
        </is>
      </c>
      <c r="K1092" s="60" t="n">
        <v>46227</v>
      </c>
      <c r="L1092" s="87">
        <f>TEXT(A1092,"mmmm")</f>
        <v/>
      </c>
    </row>
    <row r="1093">
      <c r="A1093" s="60" t="n">
        <v>46218</v>
      </c>
      <c r="B1093" s="60" t="n">
        <v>46221</v>
      </c>
      <c r="C1093" s="60" t="n">
        <v>46224</v>
      </c>
      <c r="D1093" s="87" t="inlineStr">
        <is>
          <t>AGNALDO RIBEIRO DOS SANTOS</t>
        </is>
      </c>
      <c r="E1093" s="87" t="inlineStr">
        <is>
          <t>Suhai</t>
        </is>
      </c>
      <c r="F1093" s="87" t="inlineStr">
        <is>
          <t>John</t>
        </is>
      </c>
      <c r="G1093" s="87" t="inlineStr">
        <is>
          <t>M</t>
        </is>
      </c>
      <c r="H1093" s="78" t="n">
        <v>5511968265958</v>
      </c>
      <c r="I1093" s="87" t="inlineStr">
        <is>
          <t>Novo</t>
        </is>
      </c>
      <c r="J1093" s="87" t="inlineStr">
        <is>
          <t>Assinado</t>
        </is>
      </c>
      <c r="K1093" s="60" t="n">
        <v>46227</v>
      </c>
      <c r="L1093" s="87">
        <f>TEXT(A1093,"mmmm")</f>
        <v/>
      </c>
    </row>
    <row r="1094">
      <c r="A1094" s="60" t="n">
        <v>46218</v>
      </c>
      <c r="B1094" s="60" t="n">
        <v>46221</v>
      </c>
      <c r="C1094" s="60" t="n">
        <v>46224</v>
      </c>
      <c r="D1094" s="87" t="inlineStr">
        <is>
          <t>SANDRO ROBERTO DE PONTES CAMPOS</t>
        </is>
      </c>
      <c r="E1094" s="87" t="inlineStr">
        <is>
          <t>Tokio</t>
        </is>
      </c>
      <c r="F1094" s="87" t="inlineStr">
        <is>
          <t>John</t>
        </is>
      </c>
      <c r="G1094" s="87" t="inlineStr">
        <is>
          <t>M</t>
        </is>
      </c>
      <c r="H1094" s="78" t="n">
        <v>5515991739195</v>
      </c>
      <c r="I1094" s="87" t="inlineStr">
        <is>
          <t>Renovação</t>
        </is>
      </c>
      <c r="J1094" s="87" t="inlineStr">
        <is>
          <t>Assinado</t>
        </is>
      </c>
      <c r="K1094" s="60" t="n">
        <v>46227</v>
      </c>
      <c r="L1094" s="87">
        <f>TEXT(A1094,"mmmm")</f>
        <v/>
      </c>
    </row>
    <row r="1095">
      <c r="A1095" s="60" t="n">
        <v>46218</v>
      </c>
      <c r="B1095" s="60" t="n">
        <v>46221</v>
      </c>
      <c r="C1095" s="60" t="n">
        <v>46224</v>
      </c>
      <c r="D1095" s="87" t="inlineStr">
        <is>
          <t>FRANCISCO GADELHA MAIA</t>
        </is>
      </c>
      <c r="E1095" s="87" t="inlineStr">
        <is>
          <t>Tokio</t>
        </is>
      </c>
      <c r="F1095" s="87" t="inlineStr">
        <is>
          <t>Isabella</t>
        </is>
      </c>
      <c r="G1095" s="87" t="inlineStr">
        <is>
          <t>F</t>
        </is>
      </c>
      <c r="H1095" s="78" t="n">
        <v>5519981034595</v>
      </c>
      <c r="I1095" s="87" t="inlineStr">
        <is>
          <t>Novo</t>
        </is>
      </c>
      <c r="J1095" s="87" t="inlineStr">
        <is>
          <t>Erro</t>
        </is>
      </c>
      <c r="K1095" s="60" t="n">
        <v>46227</v>
      </c>
      <c r="L1095" s="87">
        <f>TEXT(A1095,"mmmm")</f>
        <v/>
      </c>
    </row>
    <row r="1096">
      <c r="A1096" s="60" t="n">
        <v>46218</v>
      </c>
      <c r="B1096" s="60" t="n">
        <v>46221</v>
      </c>
      <c r="C1096" s="60" t="n">
        <v>46224</v>
      </c>
      <c r="D1096" s="87" t="inlineStr">
        <is>
          <t>ALEANDRO MARTINS ADRIAN DA COSTA</t>
        </is>
      </c>
      <c r="E1096" s="87" t="inlineStr">
        <is>
          <t>Tokio</t>
        </is>
      </c>
      <c r="F1096" s="87" t="inlineStr">
        <is>
          <t>Jacqueline</t>
        </is>
      </c>
      <c r="G1096" s="87" t="inlineStr">
        <is>
          <t>F</t>
        </is>
      </c>
      <c r="H1096" s="78" t="n">
        <v>5511984928311</v>
      </c>
      <c r="I1096" s="87" t="inlineStr">
        <is>
          <t>Novo</t>
        </is>
      </c>
      <c r="J1096" s="87" t="inlineStr">
        <is>
          <t>Assinado</t>
        </is>
      </c>
      <c r="K1096" s="60" t="n">
        <v>46227</v>
      </c>
      <c r="L1096" s="87">
        <f>TEXT(A1096,"mmmm")</f>
        <v/>
      </c>
    </row>
    <row r="1097">
      <c r="A1097" s="60" t="n">
        <v>46219</v>
      </c>
      <c r="B1097" s="60" t="n">
        <v>46222</v>
      </c>
      <c r="C1097" s="60" t="n">
        <v>46225</v>
      </c>
      <c r="D1097" s="87" t="inlineStr">
        <is>
          <t>MARIA FERNANDA DE CAMARGO</t>
        </is>
      </c>
      <c r="E1097" s="87" t="inlineStr">
        <is>
          <t>Mapfre</t>
        </is>
      </c>
      <c r="F1097" s="87" t="inlineStr">
        <is>
          <t>Jéssica</t>
        </is>
      </c>
      <c r="G1097" s="87" t="inlineStr">
        <is>
          <t>F</t>
        </is>
      </c>
      <c r="H1097" s="78" t="n">
        <v>5511975238228</v>
      </c>
      <c r="I1097" s="87" t="inlineStr">
        <is>
          <t>Novo</t>
        </is>
      </c>
      <c r="J1097" s="87" t="inlineStr">
        <is>
          <t>Cancelado</t>
        </is>
      </c>
      <c r="K1097" s="60" t="n">
        <v>46228</v>
      </c>
      <c r="L1097" s="87">
        <f>TEXT(A1097,"mmmm")</f>
        <v/>
      </c>
    </row>
    <row r="1098">
      <c r="A1098" s="60" t="n">
        <v>46219</v>
      </c>
      <c r="B1098" s="60" t="n">
        <v>46222</v>
      </c>
      <c r="C1098" s="60" t="n">
        <v>46225</v>
      </c>
      <c r="D1098" s="87" t="inlineStr">
        <is>
          <t>ANSELMO LUIZ MAIA CHAVES</t>
        </is>
      </c>
      <c r="E1098" s="87" t="inlineStr">
        <is>
          <t>Tokio</t>
        </is>
      </c>
      <c r="F1098" s="87" t="inlineStr">
        <is>
          <t>Leticia</t>
        </is>
      </c>
      <c r="G1098" s="87" t="inlineStr">
        <is>
          <t>F</t>
        </is>
      </c>
      <c r="H1098" s="78" t="n">
        <v>5521996338552</v>
      </c>
      <c r="I1098" s="87" t="inlineStr">
        <is>
          <t>Novo</t>
        </is>
      </c>
      <c r="J1098" s="87" t="inlineStr">
        <is>
          <t>Assinado</t>
        </is>
      </c>
      <c r="K1098" s="60" t="n">
        <v>46228</v>
      </c>
      <c r="L1098" s="87">
        <f>TEXT(A1098,"mmmm")</f>
        <v/>
      </c>
    </row>
    <row r="1099">
      <c r="A1099" s="60" t="n">
        <v>46219</v>
      </c>
      <c r="B1099" s="60" t="n">
        <v>46222</v>
      </c>
      <c r="C1099" s="60" t="n">
        <v>46225</v>
      </c>
      <c r="D1099" s="87" t="inlineStr">
        <is>
          <t>JESSE PINHEIRO DA COSTA JUNIOR</t>
        </is>
      </c>
      <c r="E1099" s="87" t="inlineStr">
        <is>
          <t>Suhai</t>
        </is>
      </c>
      <c r="F1099" s="87" t="inlineStr">
        <is>
          <t>Leticia</t>
        </is>
      </c>
      <c r="G1099" s="87" t="inlineStr">
        <is>
          <t>F</t>
        </is>
      </c>
      <c r="H1099" s="78" t="n">
        <v>5513991767659</v>
      </c>
      <c r="I1099" s="87" t="inlineStr">
        <is>
          <t>Novo</t>
        </is>
      </c>
      <c r="J1099" s="87" t="inlineStr">
        <is>
          <t>Assinado</t>
        </is>
      </c>
      <c r="K1099" s="60" t="n">
        <v>46228</v>
      </c>
      <c r="L1099" s="87">
        <f>TEXT(A1099,"mmmm")</f>
        <v/>
      </c>
    </row>
    <row r="1100">
      <c r="A1100" s="60" t="n">
        <v>46220</v>
      </c>
      <c r="B1100" s="60" t="n">
        <v>46223</v>
      </c>
      <c r="C1100" s="60" t="n">
        <v>46226</v>
      </c>
      <c r="D1100" s="87" t="inlineStr">
        <is>
          <t>LUCMANN NORE</t>
        </is>
      </c>
      <c r="E1100" s="87" t="inlineStr">
        <is>
          <t>Tokio</t>
        </is>
      </c>
      <c r="F1100" s="87" t="inlineStr">
        <is>
          <t>Myrelle</t>
        </is>
      </c>
      <c r="G1100" s="87" t="inlineStr">
        <is>
          <t>F</t>
        </is>
      </c>
      <c r="H1100" s="78" t="n">
        <v>5511987854819</v>
      </c>
      <c r="I1100" s="87" t="inlineStr">
        <is>
          <t>Novo</t>
        </is>
      </c>
      <c r="J1100" s="87" t="inlineStr">
        <is>
          <t>Assinado</t>
        </is>
      </c>
      <c r="K1100" s="60" t="n">
        <v>46229</v>
      </c>
      <c r="L1100" s="87">
        <f>TEXT(A1100,"mmmm")</f>
        <v/>
      </c>
    </row>
    <row r="1101">
      <c r="A1101" s="60" t="n">
        <v>46220</v>
      </c>
      <c r="B1101" s="60" t="n">
        <v>46223</v>
      </c>
      <c r="C1101" s="60" t="n">
        <v>46226</v>
      </c>
      <c r="D1101" s="87" t="inlineStr">
        <is>
          <t>CLAUDIA BUENO GAETA</t>
        </is>
      </c>
      <c r="E1101" s="87" t="inlineStr">
        <is>
          <t>Porto</t>
        </is>
      </c>
      <c r="F1101" s="87" t="inlineStr">
        <is>
          <t>John</t>
        </is>
      </c>
      <c r="G1101" s="87" t="inlineStr">
        <is>
          <t>M</t>
        </is>
      </c>
      <c r="H1101" s="78" t="n">
        <v>5511996249148</v>
      </c>
      <c r="I1101" s="87" t="inlineStr">
        <is>
          <t>Novo</t>
        </is>
      </c>
      <c r="J1101" s="87" t="inlineStr">
        <is>
          <t>Assinado(manual)</t>
        </is>
      </c>
      <c r="K1101" s="60" t="n">
        <v>46229</v>
      </c>
      <c r="L1101" s="87">
        <f>TEXT(A1101,"mmmm")</f>
        <v/>
      </c>
    </row>
    <row r="1102">
      <c r="A1102" s="60" t="n">
        <v>46220</v>
      </c>
      <c r="B1102" s="60" t="n">
        <v>46223</v>
      </c>
      <c r="C1102" s="60" t="n">
        <v>46226</v>
      </c>
      <c r="D1102" s="87" t="inlineStr">
        <is>
          <t xml:space="preserve">WELLINGTON CAMILLO SANTOS
</t>
        </is>
      </c>
      <c r="E1102" s="87" t="inlineStr">
        <is>
          <t>Suhai</t>
        </is>
      </c>
      <c r="F1102" s="87" t="inlineStr">
        <is>
          <t>Jéssica</t>
        </is>
      </c>
      <c r="G1102" s="87" t="inlineStr">
        <is>
          <t>F</t>
        </is>
      </c>
      <c r="H1102" s="78" t="n">
        <v>5511911666621</v>
      </c>
      <c r="I1102" s="87" t="inlineStr">
        <is>
          <t>Novo</t>
        </is>
      </c>
      <c r="J1102" s="87" t="inlineStr">
        <is>
          <t>Assinado</t>
        </is>
      </c>
      <c r="K1102" s="60" t="n">
        <v>46229</v>
      </c>
      <c r="L1102" s="87">
        <f>TEXT(A1102,"mmmm")</f>
        <v/>
      </c>
    </row>
    <row r="1103">
      <c r="A1103" s="60" t="n">
        <v>46220</v>
      </c>
      <c r="B1103" s="60" t="n">
        <v>46223</v>
      </c>
      <c r="C1103" s="60" t="n">
        <v>46226</v>
      </c>
      <c r="D1103" s="87" t="inlineStr">
        <is>
          <t>PAULO ZALEM JUNIOR</t>
        </is>
      </c>
      <c r="E1103" s="87" t="inlineStr">
        <is>
          <t>Tokio</t>
        </is>
      </c>
      <c r="F1103" s="87" t="inlineStr">
        <is>
          <t>Leticia</t>
        </is>
      </c>
      <c r="G1103" s="87" t="inlineStr">
        <is>
          <t>F</t>
        </is>
      </c>
      <c r="H1103" s="78" t="n">
        <v>5511994981557</v>
      </c>
      <c r="I1103" s="87" t="inlineStr">
        <is>
          <t>Novo</t>
        </is>
      </c>
      <c r="J1103" s="87" t="inlineStr">
        <is>
          <t>Assinado</t>
        </is>
      </c>
      <c r="K1103" s="60" t="n">
        <v>46229</v>
      </c>
      <c r="L1103" s="87">
        <f>TEXT(A1103,"mmmm")</f>
        <v/>
      </c>
    </row>
    <row r="1104">
      <c r="A1104" s="60" t="n">
        <v>46223</v>
      </c>
      <c r="B1104" s="60" t="n">
        <v>46226</v>
      </c>
      <c r="C1104" s="60" t="n">
        <v>46229</v>
      </c>
      <c r="D1104" s="87" t="inlineStr">
        <is>
          <t>JOYCE APARECIDA GONCALVES BARBOSA</t>
        </is>
      </c>
      <c r="E1104" s="87" t="inlineStr">
        <is>
          <t>Azul</t>
        </is>
      </c>
      <c r="F1104" s="87" t="inlineStr">
        <is>
          <t>Jéssica</t>
        </is>
      </c>
      <c r="G1104" s="87" t="inlineStr">
        <is>
          <t>F</t>
        </is>
      </c>
      <c r="H1104" s="78" t="n">
        <v>5511940089314</v>
      </c>
      <c r="I1104" s="87" t="inlineStr">
        <is>
          <t>Novo</t>
        </is>
      </c>
      <c r="J1104" s="87" t="inlineStr">
        <is>
          <t>Assinado</t>
        </is>
      </c>
      <c r="K1104" s="60" t="n">
        <v>46232</v>
      </c>
      <c r="L1104" s="87">
        <f>TEXT(A1104,"mmmm")</f>
        <v/>
      </c>
    </row>
    <row r="1105">
      <c r="A1105" s="60" t="n">
        <v>46223</v>
      </c>
      <c r="B1105" s="60" t="n">
        <v>46226</v>
      </c>
      <c r="C1105" s="60" t="n">
        <v>46229</v>
      </c>
      <c r="D1105" s="87" t="inlineStr">
        <is>
          <t>MARCIO CLEITON GOMES DE OLIVEIRA</t>
        </is>
      </c>
      <c r="E1105" s="87" t="inlineStr">
        <is>
          <t>Itaú</t>
        </is>
      </c>
      <c r="F1105" s="87" t="inlineStr">
        <is>
          <t>Jacqueline</t>
        </is>
      </c>
      <c r="G1105" s="87" t="inlineStr">
        <is>
          <t>F</t>
        </is>
      </c>
      <c r="H1105" s="78" t="n">
        <v>5579999191081</v>
      </c>
      <c r="I1105" s="87" t="inlineStr">
        <is>
          <t>Novo</t>
        </is>
      </c>
      <c r="J1105" s="87" t="inlineStr">
        <is>
          <t>Assinado</t>
        </is>
      </c>
      <c r="K1105" s="60" t="n">
        <v>46232</v>
      </c>
      <c r="L1105" s="87">
        <f>TEXT(A1105,"mmmm")</f>
        <v/>
      </c>
    </row>
    <row r="1106">
      <c r="A1106" s="60" t="n">
        <v>46223</v>
      </c>
      <c r="B1106" s="60" t="n">
        <v>46226</v>
      </c>
      <c r="C1106" s="60" t="n">
        <v>46229</v>
      </c>
      <c r="D1106" s="87" t="inlineStr">
        <is>
          <t>ELLEN ANDRADE DE OLIVEIRA</t>
        </is>
      </c>
      <c r="E1106" s="87" t="inlineStr">
        <is>
          <t>Azul</t>
        </is>
      </c>
      <c r="F1106" s="87" t="inlineStr">
        <is>
          <t>Jacqueline</t>
        </is>
      </c>
      <c r="G1106" s="87" t="inlineStr">
        <is>
          <t>F</t>
        </is>
      </c>
      <c r="H1106" s="78" t="n">
        <v>5511952146088</v>
      </c>
      <c r="I1106" s="87" t="inlineStr">
        <is>
          <t>Novo</t>
        </is>
      </c>
      <c r="J1106" s="87" t="inlineStr">
        <is>
          <t>Assinado</t>
        </is>
      </c>
      <c r="K1106" s="60" t="n">
        <v>46232</v>
      </c>
      <c r="L1106" s="87">
        <f>TEXT(A1106,"mmmm")</f>
        <v/>
      </c>
    </row>
    <row r="1107">
      <c r="A1107" s="60" t="n">
        <v>46223</v>
      </c>
      <c r="B1107" s="60" t="n">
        <v>46226</v>
      </c>
      <c r="C1107" s="60" t="n">
        <v>46229</v>
      </c>
      <c r="D1107" s="87" t="inlineStr">
        <is>
          <t>CLEITON DOS SANTOS</t>
        </is>
      </c>
      <c r="E1107" s="87" t="inlineStr">
        <is>
          <t>Suhai</t>
        </is>
      </c>
      <c r="F1107" s="87" t="inlineStr">
        <is>
          <t>Isabella</t>
        </is>
      </c>
      <c r="G1107" s="87" t="inlineStr">
        <is>
          <t>F</t>
        </is>
      </c>
      <c r="H1107" s="78" t="n">
        <v>5511979876380</v>
      </c>
      <c r="I1107" s="87" t="inlineStr">
        <is>
          <t>Novo</t>
        </is>
      </c>
      <c r="J1107" s="87" t="inlineStr">
        <is>
          <t>Envio e-mail</t>
        </is>
      </c>
      <c r="K1107" s="60" t="n">
        <v>46232</v>
      </c>
      <c r="L1107" s="87">
        <f>TEXT(A1107,"mmmm")</f>
        <v/>
      </c>
    </row>
    <row r="1108">
      <c r="A1108" s="60" t="n">
        <v>46223</v>
      </c>
      <c r="B1108" s="60" t="n">
        <v>46226</v>
      </c>
      <c r="C1108" s="60" t="n">
        <v>46229</v>
      </c>
      <c r="D1108" s="87" t="inlineStr">
        <is>
          <t>VANDERLEI APARECIDO SALANDIN</t>
        </is>
      </c>
      <c r="E1108" s="87" t="inlineStr">
        <is>
          <t>Suhai</t>
        </is>
      </c>
      <c r="F1108" s="87" t="inlineStr">
        <is>
          <t>John</t>
        </is>
      </c>
      <c r="G1108" s="87" t="inlineStr">
        <is>
          <t>M</t>
        </is>
      </c>
      <c r="H1108" s="78" t="n">
        <v>5511985561188</v>
      </c>
      <c r="I1108" s="87" t="inlineStr">
        <is>
          <t>Novo</t>
        </is>
      </c>
      <c r="J1108" s="87" t="inlineStr">
        <is>
          <t>Assinado</t>
        </is>
      </c>
      <c r="K1108" s="60" t="n">
        <v>46232</v>
      </c>
      <c r="L1108" s="87">
        <f>TEXT(A1108,"mmmm")</f>
        <v/>
      </c>
    </row>
    <row r="1109">
      <c r="A1109" s="60" t="n">
        <v>46223</v>
      </c>
      <c r="B1109" s="60" t="n">
        <v>46226</v>
      </c>
      <c r="C1109" s="60" t="n">
        <v>46229</v>
      </c>
      <c r="D1109" s="87" t="inlineStr">
        <is>
          <t>VIVIANE CRISTINA DE SOUZA</t>
        </is>
      </c>
      <c r="E1109" s="87" t="inlineStr">
        <is>
          <t>Suhai</t>
        </is>
      </c>
      <c r="F1109" s="87" t="inlineStr">
        <is>
          <t>Myrelle</t>
        </is>
      </c>
      <c r="G1109" s="87" t="inlineStr">
        <is>
          <t>F</t>
        </is>
      </c>
      <c r="H1109" s="78" t="n">
        <v>5511978962365</v>
      </c>
      <c r="I1109" s="87" t="inlineStr">
        <is>
          <t>Novo</t>
        </is>
      </c>
      <c r="J1109" s="87" t="inlineStr">
        <is>
          <t>Assinado</t>
        </is>
      </c>
      <c r="K1109" s="60" t="n">
        <v>46232</v>
      </c>
      <c r="L1109" s="87">
        <f>TEXT(A1109,"mmmm")</f>
        <v/>
      </c>
    </row>
    <row r="1110">
      <c r="A1110" s="60" t="n">
        <v>46223</v>
      </c>
      <c r="B1110" s="60" t="n">
        <v>46226</v>
      </c>
      <c r="C1110" s="60" t="n">
        <v>46229</v>
      </c>
      <c r="D1110" s="87" t="inlineStr">
        <is>
          <t>FABIO CRUZ DE SALES</t>
        </is>
      </c>
      <c r="E1110" s="87" t="inlineStr">
        <is>
          <t>Azul</t>
        </is>
      </c>
      <c r="F1110" s="87" t="inlineStr">
        <is>
          <t>Isabella</t>
        </is>
      </c>
      <c r="G1110" s="87" t="inlineStr">
        <is>
          <t>F</t>
        </is>
      </c>
      <c r="H1110" s="78" t="n">
        <v>5511975660661</v>
      </c>
      <c r="I1110" s="87" t="inlineStr">
        <is>
          <t>Novo</t>
        </is>
      </c>
      <c r="J1110" s="87" t="inlineStr">
        <is>
          <t>Assinado</t>
        </is>
      </c>
      <c r="K1110" s="60" t="n">
        <v>46232</v>
      </c>
      <c r="L1110" s="87">
        <f>TEXT(A1110,"mmmm")</f>
        <v/>
      </c>
    </row>
    <row r="1111">
      <c r="A1111" s="60" t="n">
        <v>46223</v>
      </c>
      <c r="B1111" s="60" t="n">
        <v>46226</v>
      </c>
      <c r="C1111" s="60" t="n">
        <v>46229</v>
      </c>
      <c r="D1111" s="87" t="inlineStr">
        <is>
          <t>ADAO SILVA SOUZA</t>
        </is>
      </c>
      <c r="E1111" s="87" t="inlineStr">
        <is>
          <t>Azul</t>
        </is>
      </c>
      <c r="F1111" s="87" t="inlineStr">
        <is>
          <t>Isabella</t>
        </is>
      </c>
      <c r="G1111" s="87" t="inlineStr">
        <is>
          <t>F</t>
        </is>
      </c>
      <c r="H1111" s="78" t="n">
        <v>5511971794253</v>
      </c>
      <c r="I1111" s="87" t="inlineStr">
        <is>
          <t>Novo</t>
        </is>
      </c>
      <c r="J1111" s="87" t="inlineStr">
        <is>
          <t>Erro</t>
        </is>
      </c>
      <c r="K1111" s="60" t="n">
        <v>46232</v>
      </c>
      <c r="L1111" s="87">
        <f>TEXT(A1111,"mmmm")</f>
        <v/>
      </c>
    </row>
    <row r="1112">
      <c r="A1112" s="60" t="n">
        <v>46224</v>
      </c>
      <c r="B1112" s="60" t="n">
        <v>46227</v>
      </c>
      <c r="C1112" s="60" t="n">
        <v>46230</v>
      </c>
      <c r="D1112" s="87" t="inlineStr">
        <is>
          <t>ANTONIO ALENCAR CALIXTO</t>
        </is>
      </c>
      <c r="E1112" s="87" t="inlineStr">
        <is>
          <t>Bradesco</t>
        </is>
      </c>
      <c r="F1112" s="87" t="inlineStr">
        <is>
          <t>John</t>
        </is>
      </c>
      <c r="G1112" s="87" t="inlineStr">
        <is>
          <t>M</t>
        </is>
      </c>
      <c r="H1112" s="78" t="n">
        <v>5511985089023</v>
      </c>
      <c r="I1112" s="87" t="inlineStr">
        <is>
          <t>Renovação</t>
        </is>
      </c>
      <c r="J1112" s="87" t="inlineStr">
        <is>
          <t>Erro</t>
        </is>
      </c>
      <c r="K1112" s="60" t="n">
        <v>46233</v>
      </c>
      <c r="L1112" s="87">
        <f>TEXT(A1112,"mmmm")</f>
        <v/>
      </c>
    </row>
    <row r="1113">
      <c r="A1113" s="60" t="n">
        <v>46224</v>
      </c>
      <c r="B1113" s="60" t="n">
        <v>46227</v>
      </c>
      <c r="C1113" s="60" t="n">
        <v>46230</v>
      </c>
      <c r="D1113" s="87" t="inlineStr">
        <is>
          <t>BRUNA BARBOSA DE SOUZA</t>
        </is>
      </c>
      <c r="E1113" s="87" t="inlineStr">
        <is>
          <t>Porto</t>
        </is>
      </c>
      <c r="F1113" s="87" t="inlineStr">
        <is>
          <t>John</t>
        </is>
      </c>
      <c r="G1113" s="87" t="inlineStr">
        <is>
          <t>M</t>
        </is>
      </c>
      <c r="H1113" s="78" t="n">
        <v>5511948136610</v>
      </c>
      <c r="I1113" s="87" t="inlineStr">
        <is>
          <t>Renovação</t>
        </is>
      </c>
      <c r="J1113" s="87" t="inlineStr">
        <is>
          <t>Assinado</t>
        </is>
      </c>
      <c r="K1113" s="60" t="n">
        <v>46233</v>
      </c>
      <c r="L1113" s="87">
        <f>TEXT(A1113,"mmmm")</f>
        <v/>
      </c>
    </row>
    <row r="1114">
      <c r="A1114" s="60" t="n">
        <v>46224</v>
      </c>
      <c r="B1114" s="60" t="n">
        <v>46227</v>
      </c>
      <c r="C1114" s="60" t="n">
        <v>46230</v>
      </c>
      <c r="D1114" s="87" t="inlineStr">
        <is>
          <t>GRAZIELE APARECIDA COELHO DE SOUZA</t>
        </is>
      </c>
      <c r="E1114" s="87" t="inlineStr">
        <is>
          <t>Allianz</t>
        </is>
      </c>
      <c r="F1114" s="87" t="inlineStr">
        <is>
          <t>John</t>
        </is>
      </c>
      <c r="G1114" s="87" t="inlineStr">
        <is>
          <t>M</t>
        </is>
      </c>
      <c r="H1114" s="78" t="n">
        <v>5511980457837</v>
      </c>
      <c r="I1114" s="87" t="inlineStr">
        <is>
          <t>Novo</t>
        </is>
      </c>
      <c r="J1114" s="87" t="inlineStr">
        <is>
          <t>Assinado</t>
        </is>
      </c>
      <c r="K1114" s="60" t="n">
        <v>46233</v>
      </c>
      <c r="L1114" s="87">
        <f>TEXT(A1114,"mmmm")</f>
        <v/>
      </c>
    </row>
    <row r="1115">
      <c r="A1115" s="60" t="n">
        <v>46224</v>
      </c>
      <c r="B1115" s="60" t="n">
        <v>46227</v>
      </c>
      <c r="C1115" s="60" t="n">
        <v>46230</v>
      </c>
      <c r="D1115" s="87" t="inlineStr">
        <is>
          <t>SMILEY AMARAL BURITI</t>
        </is>
      </c>
      <c r="E1115" s="87" t="inlineStr">
        <is>
          <t>Suhai</t>
        </is>
      </c>
      <c r="F1115" s="87" t="inlineStr">
        <is>
          <t>Myrelle</t>
        </is>
      </c>
      <c r="G1115" s="87" t="inlineStr">
        <is>
          <t>F</t>
        </is>
      </c>
      <c r="H1115" s="78" t="n">
        <v>5517996603866</v>
      </c>
      <c r="I1115" s="87" t="inlineStr">
        <is>
          <t>Novo</t>
        </is>
      </c>
      <c r="J1115" s="87" t="inlineStr">
        <is>
          <t>Cancelado</t>
        </is>
      </c>
      <c r="K1115" s="60" t="n">
        <v>46233</v>
      </c>
      <c r="L1115" s="87">
        <f>TEXT(A1115,"mmmm")</f>
        <v/>
      </c>
    </row>
    <row r="1116">
      <c r="A1116" s="60" t="n">
        <v>46224</v>
      </c>
      <c r="B1116" s="60" t="n">
        <v>46227</v>
      </c>
      <c r="C1116" s="60" t="n">
        <v>46230</v>
      </c>
      <c r="D1116" s="87" t="inlineStr">
        <is>
          <t>MARCELO TAVARES DE SOUSA</t>
        </is>
      </c>
      <c r="E1116" s="87" t="inlineStr">
        <is>
          <t>Azul</t>
        </is>
      </c>
      <c r="F1116" s="87" t="inlineStr">
        <is>
          <t>Jacqueline</t>
        </is>
      </c>
      <c r="G1116" s="87" t="inlineStr">
        <is>
          <t>F</t>
        </is>
      </c>
      <c r="H1116" s="78" t="n">
        <v>5594991670751</v>
      </c>
      <c r="I1116" s="87" t="inlineStr">
        <is>
          <t>Novo</t>
        </is>
      </c>
      <c r="J1116" s="87" t="inlineStr">
        <is>
          <t>Assinado</t>
        </is>
      </c>
      <c r="K1116" s="60" t="n">
        <v>46233</v>
      </c>
      <c r="L1116" s="87">
        <f>TEXT(A1116,"mmmm")</f>
        <v/>
      </c>
    </row>
    <row r="1117">
      <c r="A1117" s="60" t="n">
        <v>46224</v>
      </c>
      <c r="B1117" s="60" t="n">
        <v>46227</v>
      </c>
      <c r="C1117" s="60" t="n">
        <v>46230</v>
      </c>
      <c r="D1117" s="87" t="inlineStr">
        <is>
          <t>SERGIO ALVES DA SILVA</t>
        </is>
      </c>
      <c r="E1117" s="87" t="inlineStr">
        <is>
          <t>Azul</t>
        </is>
      </c>
      <c r="F1117" s="87" t="inlineStr">
        <is>
          <t>John</t>
        </is>
      </c>
      <c r="G1117" s="87" t="inlineStr">
        <is>
          <t>M</t>
        </is>
      </c>
      <c r="H1117" s="78" t="n">
        <v>5519992855356</v>
      </c>
      <c r="I1117" s="87" t="inlineStr">
        <is>
          <t>Renovação</t>
        </is>
      </c>
      <c r="J1117" s="87" t="inlineStr">
        <is>
          <t>Assinado</t>
        </is>
      </c>
      <c r="K1117" s="60" t="n">
        <v>46233</v>
      </c>
      <c r="L1117" s="87">
        <f>TEXT(A1117,"mmmm")</f>
        <v/>
      </c>
    </row>
    <row r="1118">
      <c r="A1118" s="60" t="n">
        <v>46224</v>
      </c>
      <c r="B1118" s="60" t="n">
        <v>46227</v>
      </c>
      <c r="C1118" s="60" t="n">
        <v>46230</v>
      </c>
      <c r="D1118" s="87" t="inlineStr">
        <is>
          <t>DEBORA MARIA DIAS</t>
        </is>
      </c>
      <c r="E1118" s="87" t="inlineStr">
        <is>
          <t>Suhai</t>
        </is>
      </c>
      <c r="F1118" s="87" t="inlineStr">
        <is>
          <t>Isabella</t>
        </is>
      </c>
      <c r="G1118" s="87" t="inlineStr">
        <is>
          <t>F</t>
        </is>
      </c>
      <c r="H1118" s="78" t="n">
        <v>5511986748703</v>
      </c>
      <c r="I1118" s="87" t="inlineStr">
        <is>
          <t>Novo</t>
        </is>
      </c>
      <c r="J1118" s="87" t="inlineStr">
        <is>
          <t>Assinado</t>
        </is>
      </c>
      <c r="K1118" s="60" t="n">
        <v>46233</v>
      </c>
      <c r="L1118" s="87">
        <f>TEXT(A1118,"mmmm")</f>
        <v/>
      </c>
    </row>
    <row r="1119">
      <c r="A1119" s="60" t="n">
        <v>46224</v>
      </c>
      <c r="B1119" s="60" t="n">
        <v>46227</v>
      </c>
      <c r="C1119" s="60" t="n">
        <v>46230</v>
      </c>
      <c r="D1119" s="87" t="inlineStr">
        <is>
          <t>EVA CLAUDIA PADILHA</t>
        </is>
      </c>
      <c r="E1119" s="87" t="inlineStr">
        <is>
          <t>Azul</t>
        </is>
      </c>
      <c r="F1119" s="87" t="inlineStr">
        <is>
          <t>Isabella</t>
        </is>
      </c>
      <c r="G1119" s="87" t="inlineStr">
        <is>
          <t>F</t>
        </is>
      </c>
      <c r="H1119" s="78" t="n">
        <v>5511997078927</v>
      </c>
      <c r="I1119" s="87" t="inlineStr">
        <is>
          <t>Novo</t>
        </is>
      </c>
      <c r="J1119" s="87" t="inlineStr">
        <is>
          <t>Envio e-mail</t>
        </is>
      </c>
      <c r="K1119" s="60" t="n">
        <v>46233</v>
      </c>
      <c r="L1119" s="87">
        <f>TEXT(A1119,"mmmm")</f>
        <v/>
      </c>
    </row>
    <row r="1120">
      <c r="A1120" s="60" t="n">
        <v>46224</v>
      </c>
      <c r="B1120" s="60" t="n">
        <v>46227</v>
      </c>
      <c r="C1120" s="60" t="n">
        <v>46230</v>
      </c>
      <c r="D1120" s="87" t="inlineStr">
        <is>
          <t>MARIA BENEDITA DE OLIVEIRA COSTA</t>
        </is>
      </c>
      <c r="E1120" s="87" t="inlineStr">
        <is>
          <t>Zurich</t>
        </is>
      </c>
      <c r="F1120" s="87" t="inlineStr">
        <is>
          <t>John</t>
        </is>
      </c>
      <c r="G1120" s="87" t="inlineStr">
        <is>
          <t>M</t>
        </is>
      </c>
      <c r="H1120" s="78" t="n">
        <v>5512981209604</v>
      </c>
      <c r="I1120" s="87" t="inlineStr">
        <is>
          <t>Novo</t>
        </is>
      </c>
      <c r="J1120" s="87" t="inlineStr">
        <is>
          <t>Envio e-mail</t>
        </is>
      </c>
      <c r="K1120" s="60" t="n">
        <v>46233</v>
      </c>
      <c r="L1120" s="87">
        <f>TEXT(A1120,"mmmm")</f>
        <v/>
      </c>
    </row>
    <row r="1121">
      <c r="A1121" s="60" t="n">
        <v>46224</v>
      </c>
      <c r="B1121" s="60" t="n">
        <v>46227</v>
      </c>
      <c r="C1121" s="60" t="n">
        <v>46230</v>
      </c>
      <c r="D1121" s="87" t="inlineStr">
        <is>
          <t>FABIANO LOMBARDI DOS SANTOS</t>
        </is>
      </c>
      <c r="E1121" s="87" t="inlineStr">
        <is>
          <t>Aliro</t>
        </is>
      </c>
      <c r="F1121" s="87" t="inlineStr">
        <is>
          <t>Leticia</t>
        </is>
      </c>
      <c r="G1121" s="87" t="inlineStr">
        <is>
          <t>F</t>
        </is>
      </c>
      <c r="H1121" s="78" t="n">
        <v>5519996594711</v>
      </c>
      <c r="I1121" s="87" t="inlineStr">
        <is>
          <t>Novo</t>
        </is>
      </c>
      <c r="J1121" s="87" t="inlineStr">
        <is>
          <t>Assinado</t>
        </is>
      </c>
      <c r="K1121" s="60" t="n">
        <v>46233</v>
      </c>
      <c r="L1121" s="87">
        <f>TEXT(A1121,"mmmm")</f>
        <v/>
      </c>
    </row>
    <row r="1122">
      <c r="A1122" s="60" t="n">
        <v>46224</v>
      </c>
      <c r="B1122" s="60" t="n">
        <v>46227</v>
      </c>
      <c r="C1122" s="60" t="n">
        <v>46230</v>
      </c>
      <c r="D1122" s="87" t="inlineStr">
        <is>
          <t>FABIANO LOMBARDI DOS SANTOS</t>
        </is>
      </c>
      <c r="E1122" s="87" t="inlineStr">
        <is>
          <t>Aliro</t>
        </is>
      </c>
      <c r="F1122" s="87" t="inlineStr">
        <is>
          <t>Leticia</t>
        </is>
      </c>
      <c r="G1122" s="87" t="inlineStr">
        <is>
          <t>F</t>
        </is>
      </c>
      <c r="H1122" s="78" t="n">
        <v>5519996594711</v>
      </c>
      <c r="I1122" s="87" t="inlineStr">
        <is>
          <t>Novo</t>
        </is>
      </c>
      <c r="J1122" s="87" t="inlineStr">
        <is>
          <t>Assinado</t>
        </is>
      </c>
      <c r="K1122" s="60" t="n">
        <v>46233</v>
      </c>
      <c r="L1122" s="87">
        <f>TEXT(A1122,"mmmm")</f>
        <v/>
      </c>
    </row>
    <row r="1123">
      <c r="A1123" s="60" t="n">
        <v>46225</v>
      </c>
      <c r="B1123" s="60" t="n">
        <v>46228</v>
      </c>
      <c r="C1123" s="60" t="n">
        <v>46231</v>
      </c>
      <c r="D1123" s="87" t="inlineStr">
        <is>
          <t>GRAFF COMERCIO VAREJISTA DE SORVETES LTDA</t>
        </is>
      </c>
      <c r="E1123" s="87" t="inlineStr">
        <is>
          <t>Porto</t>
        </is>
      </c>
      <c r="F1123" s="87" t="inlineStr">
        <is>
          <t>John</t>
        </is>
      </c>
      <c r="G1123" s="87" t="inlineStr">
        <is>
          <t>M</t>
        </is>
      </c>
      <c r="H1123" s="78" t="n">
        <v>5511980457837</v>
      </c>
      <c r="I1123" s="87" t="inlineStr">
        <is>
          <t>Renovação</t>
        </is>
      </c>
      <c r="J1123" s="87" t="inlineStr">
        <is>
          <t>Assinado</t>
        </is>
      </c>
      <c r="K1123" s="60" t="n">
        <v>46234</v>
      </c>
      <c r="L1123" s="87">
        <f>TEXT(A1123,"mmmm")</f>
        <v/>
      </c>
    </row>
    <row r="1124">
      <c r="A1124" s="60" t="n">
        <v>46225</v>
      </c>
      <c r="B1124" s="60" t="n">
        <v>46228</v>
      </c>
      <c r="C1124" s="60" t="n">
        <v>46231</v>
      </c>
      <c r="D1124" s="87" t="inlineStr">
        <is>
          <t>ROMULO CESAR FERNANDES</t>
        </is>
      </c>
      <c r="E1124" s="87" t="inlineStr">
        <is>
          <t>Porto</t>
        </is>
      </c>
      <c r="F1124" s="87" t="inlineStr">
        <is>
          <t>John</t>
        </is>
      </c>
      <c r="G1124" s="87" t="inlineStr">
        <is>
          <t>M</t>
        </is>
      </c>
      <c r="H1124" s="78" t="n">
        <v>5511992620363</v>
      </c>
      <c r="I1124" s="87" t="inlineStr">
        <is>
          <t>Renovação</t>
        </is>
      </c>
      <c r="J1124" s="87" t="inlineStr">
        <is>
          <t>Assinado</t>
        </is>
      </c>
      <c r="K1124" s="60" t="n">
        <v>46234</v>
      </c>
      <c r="L1124" s="87">
        <f>TEXT(A1124,"mmmm")</f>
        <v/>
      </c>
    </row>
    <row r="1125">
      <c r="A1125" s="60" t="n">
        <v>46225</v>
      </c>
      <c r="B1125" s="60" t="n">
        <v>46228</v>
      </c>
      <c r="C1125" s="60" t="n">
        <v>46231</v>
      </c>
      <c r="D1125" s="87" t="inlineStr">
        <is>
          <t>WEDERSON APARECIDO DOS SANTOS</t>
        </is>
      </c>
      <c r="E1125" s="87" t="inlineStr">
        <is>
          <t>Tokio</t>
        </is>
      </c>
      <c r="F1125" s="87" t="inlineStr">
        <is>
          <t>John</t>
        </is>
      </c>
      <c r="G1125" s="87" t="inlineStr">
        <is>
          <t>M</t>
        </is>
      </c>
      <c r="H1125" s="78" t="n">
        <v>5511962532360</v>
      </c>
      <c r="I1125" s="87" t="inlineStr">
        <is>
          <t>Renovação</t>
        </is>
      </c>
      <c r="J1125" s="87" t="inlineStr">
        <is>
          <t>Assinado</t>
        </is>
      </c>
      <c r="K1125" s="60" t="n">
        <v>46234</v>
      </c>
      <c r="L1125" s="87">
        <f>TEXT(A1125,"mmmm")</f>
        <v/>
      </c>
    </row>
    <row r="1126">
      <c r="A1126" s="60" t="n">
        <v>46225</v>
      </c>
      <c r="B1126" s="60" t="n">
        <v>46228</v>
      </c>
      <c r="C1126" s="60" t="n">
        <v>46231</v>
      </c>
      <c r="D1126" s="87" t="inlineStr">
        <is>
          <t>SUELI BARBOSA DE MORAIS</t>
        </is>
      </c>
      <c r="E1126" s="87" t="inlineStr">
        <is>
          <t>Porto</t>
        </is>
      </c>
      <c r="F1126" s="87" t="inlineStr">
        <is>
          <t>John</t>
        </is>
      </c>
      <c r="G1126" s="87" t="inlineStr">
        <is>
          <t>M</t>
        </is>
      </c>
      <c r="H1126" s="78" t="n">
        <v>5511991742438</v>
      </c>
      <c r="I1126" s="87" t="inlineStr">
        <is>
          <t>Renovação</t>
        </is>
      </c>
      <c r="J1126" s="87" t="inlineStr">
        <is>
          <t>Assinado</t>
        </is>
      </c>
      <c r="K1126" s="60" t="n">
        <v>46234</v>
      </c>
      <c r="L1126" s="87">
        <f>TEXT(A1126,"mmmm")</f>
        <v/>
      </c>
    </row>
    <row r="1127">
      <c r="A1127" s="60" t="n">
        <v>46225</v>
      </c>
      <c r="B1127" s="60" t="n">
        <v>46228</v>
      </c>
      <c r="C1127" s="60" t="n">
        <v>46231</v>
      </c>
      <c r="D1127" s="87" t="inlineStr">
        <is>
          <t>PATRICIA ALVES NASCIMENTO</t>
        </is>
      </c>
      <c r="E1127" s="87" t="inlineStr">
        <is>
          <t>Tokio</t>
        </is>
      </c>
      <c r="F1127" s="87" t="inlineStr">
        <is>
          <t>John</t>
        </is>
      </c>
      <c r="G1127" s="87" t="inlineStr">
        <is>
          <t>M</t>
        </is>
      </c>
      <c r="H1127" s="78" t="n">
        <v>5512981586628</v>
      </c>
      <c r="I1127" s="87" t="inlineStr">
        <is>
          <t>Novo</t>
        </is>
      </c>
      <c r="J1127" s="87" t="inlineStr">
        <is>
          <t>Envio e-mail</t>
        </is>
      </c>
      <c r="K1127" s="60" t="n">
        <v>46234</v>
      </c>
      <c r="L1127" s="87">
        <f>TEXT(A1127,"mmmm")</f>
        <v/>
      </c>
    </row>
    <row r="1128">
      <c r="A1128" s="60" t="n">
        <v>46225</v>
      </c>
      <c r="B1128" s="60" t="n">
        <v>46228</v>
      </c>
      <c r="C1128" s="60" t="n">
        <v>46231</v>
      </c>
      <c r="D1128" s="87" t="inlineStr">
        <is>
          <t>MATHEUS ALVES OLIVEIRA</t>
        </is>
      </c>
      <c r="E1128" s="87" t="inlineStr">
        <is>
          <t>Suhai</t>
        </is>
      </c>
      <c r="F1128" s="87" t="inlineStr">
        <is>
          <t>Leticia</t>
        </is>
      </c>
      <c r="G1128" s="87" t="inlineStr">
        <is>
          <t>F</t>
        </is>
      </c>
      <c r="H1128" s="78" t="n">
        <v>5511949703819</v>
      </c>
      <c r="I1128" s="87" t="inlineStr">
        <is>
          <t>Novo</t>
        </is>
      </c>
      <c r="J1128" s="87" t="inlineStr">
        <is>
          <t>Envio e-mail</t>
        </is>
      </c>
      <c r="K1128" s="60" t="n">
        <v>46234</v>
      </c>
      <c r="L1128" s="87">
        <f>TEXT(A1128,"mmmm")</f>
        <v/>
      </c>
    </row>
    <row r="1129">
      <c r="A1129" s="60" t="n">
        <v>46225</v>
      </c>
      <c r="B1129" s="60" t="n">
        <v>46228</v>
      </c>
      <c r="C1129" s="60" t="n">
        <v>46231</v>
      </c>
      <c r="D1129" s="87" t="inlineStr">
        <is>
          <t>ROSIANE BATISTA DE SOUSA SILVA</t>
        </is>
      </c>
      <c r="E1129" s="87" t="inlineStr">
        <is>
          <t>Yellum</t>
        </is>
      </c>
      <c r="F1129" s="87" t="inlineStr">
        <is>
          <t>Leticia</t>
        </is>
      </c>
      <c r="G1129" s="87" t="inlineStr">
        <is>
          <t>F</t>
        </is>
      </c>
      <c r="H1129" s="78" t="n">
        <v>5513974189205</v>
      </c>
      <c r="I1129" s="87" t="inlineStr">
        <is>
          <t>Novo</t>
        </is>
      </c>
      <c r="J1129" s="87" t="inlineStr">
        <is>
          <t>Assinado</t>
        </is>
      </c>
      <c r="K1129" s="60" t="n">
        <v>46234</v>
      </c>
      <c r="L1129" s="87">
        <f>TEXT(A1129,"mmmm")</f>
        <v/>
      </c>
    </row>
    <row r="1130">
      <c r="A1130" s="60" t="n">
        <v>46225</v>
      </c>
      <c r="B1130" s="60" t="n">
        <v>46228</v>
      </c>
      <c r="C1130" s="60" t="n">
        <v>46231</v>
      </c>
      <c r="D1130" s="87" t="inlineStr">
        <is>
          <t>RODRIGO DE SOUZA</t>
        </is>
      </c>
      <c r="E1130" s="87" t="inlineStr">
        <is>
          <t>Suhai</t>
        </is>
      </c>
      <c r="F1130" s="87" t="inlineStr">
        <is>
          <t>John</t>
        </is>
      </c>
      <c r="G1130" s="87" t="inlineStr">
        <is>
          <t>M</t>
        </is>
      </c>
      <c r="H1130" s="78" t="n">
        <v>5511978057883</v>
      </c>
      <c r="I1130" s="87" t="inlineStr">
        <is>
          <t>Novo</t>
        </is>
      </c>
      <c r="J1130" s="87" t="inlineStr">
        <is>
          <t>Assinado</t>
        </is>
      </c>
      <c r="K1130" s="60" t="n">
        <v>46234</v>
      </c>
      <c r="L1130" s="87">
        <f>TEXT(A1130,"mmmm")</f>
        <v/>
      </c>
    </row>
    <row r="1131">
      <c r="A1131" s="60" t="n">
        <v>46225</v>
      </c>
      <c r="B1131" s="60" t="n">
        <v>46228</v>
      </c>
      <c r="C1131" s="60" t="n">
        <v>46231</v>
      </c>
      <c r="D1131" s="87" t="inlineStr">
        <is>
          <t>CARLOS HENRIQUE CHAGAS COSTA</t>
        </is>
      </c>
      <c r="E1131" s="87" t="inlineStr">
        <is>
          <t>Azul</t>
        </is>
      </c>
      <c r="F1131" s="87" t="inlineStr">
        <is>
          <t>Jacqueline</t>
        </is>
      </c>
      <c r="G1131" s="87" t="inlineStr">
        <is>
          <t>F</t>
        </is>
      </c>
      <c r="H1131" s="78" t="n">
        <v>5585989219339</v>
      </c>
      <c r="I1131" s="87" t="inlineStr">
        <is>
          <t>Novo</t>
        </is>
      </c>
      <c r="J1131" s="87" t="inlineStr">
        <is>
          <t>Assinado</t>
        </is>
      </c>
      <c r="K1131" s="60" t="n">
        <v>46234</v>
      </c>
      <c r="L1131" s="87">
        <f>TEXT(A1131,"mmmm")</f>
        <v/>
      </c>
    </row>
    <row r="1132">
      <c r="A1132" s="60" t="n">
        <v>46225</v>
      </c>
      <c r="B1132" s="60" t="n">
        <v>46228</v>
      </c>
      <c r="C1132" s="60" t="n">
        <v>46231</v>
      </c>
      <c r="D1132" s="87" t="inlineStr">
        <is>
          <t>AGENILDO FERREIRA DE LIMA</t>
        </is>
      </c>
      <c r="E1132" s="87" t="inlineStr">
        <is>
          <t>Tokio</t>
        </is>
      </c>
      <c r="F1132" s="87" t="inlineStr">
        <is>
          <t>John</t>
        </is>
      </c>
      <c r="G1132" s="87" t="inlineStr">
        <is>
          <t>M</t>
        </is>
      </c>
      <c r="H1132" s="78" t="n">
        <v>5519995410987</v>
      </c>
      <c r="I1132" s="87" t="inlineStr">
        <is>
          <t>Renovação</t>
        </is>
      </c>
      <c r="J1132" s="87" t="inlineStr">
        <is>
          <t>Erro</t>
        </is>
      </c>
      <c r="K1132" s="60" t="n">
        <v>46234</v>
      </c>
      <c r="L1132" s="87">
        <f>TEXT(A1132,"mmmm")</f>
        <v/>
      </c>
    </row>
    <row r="1133">
      <c r="A1133" s="60" t="n">
        <v>46225</v>
      </c>
      <c r="B1133" s="60" t="n">
        <v>46228</v>
      </c>
      <c r="C1133" s="60" t="n">
        <v>46231</v>
      </c>
      <c r="D1133" s="87" t="inlineStr">
        <is>
          <t>CARLOS ALBERTO DO NASCIMENTO</t>
        </is>
      </c>
      <c r="E1133" s="87" t="inlineStr">
        <is>
          <t>Porto</t>
        </is>
      </c>
      <c r="F1133" s="87" t="inlineStr">
        <is>
          <t>John</t>
        </is>
      </c>
      <c r="G1133" s="87" t="inlineStr">
        <is>
          <t>M</t>
        </is>
      </c>
      <c r="H1133" s="78" t="n">
        <v>5511980484505</v>
      </c>
      <c r="I1133" s="87" t="inlineStr">
        <is>
          <t>Novo</t>
        </is>
      </c>
      <c r="J1133" s="87" t="inlineStr">
        <is>
          <t>Assinado</t>
        </is>
      </c>
      <c r="K1133" s="60" t="n">
        <v>46234</v>
      </c>
      <c r="L1133" s="87">
        <f>TEXT(A1133,"mmmm")</f>
        <v/>
      </c>
    </row>
    <row r="1134">
      <c r="A1134" s="60" t="n">
        <v>46225</v>
      </c>
      <c r="B1134" s="60" t="n">
        <v>46228</v>
      </c>
      <c r="C1134" s="60" t="n">
        <v>46231</v>
      </c>
      <c r="D1134" s="87" t="inlineStr">
        <is>
          <t>CENIRA DE JESUS CORREIA</t>
        </is>
      </c>
      <c r="E1134" s="87" t="inlineStr">
        <is>
          <t>Azul</t>
        </is>
      </c>
      <c r="F1134" s="87" t="inlineStr">
        <is>
          <t>Leticia</t>
        </is>
      </c>
      <c r="G1134" s="87" t="inlineStr">
        <is>
          <t>F</t>
        </is>
      </c>
      <c r="H1134" s="78" t="n">
        <v>5511941151224</v>
      </c>
      <c r="I1134" s="87" t="inlineStr">
        <is>
          <t>Novo</t>
        </is>
      </c>
      <c r="J1134" s="87" t="inlineStr">
        <is>
          <t>Assinado</t>
        </is>
      </c>
      <c r="K1134" s="60" t="n">
        <v>46234</v>
      </c>
      <c r="L1134" s="87">
        <f>TEXT(A1134,"mmmm")</f>
        <v/>
      </c>
    </row>
    <row r="1135">
      <c r="A1135" s="60" t="n">
        <v>46227</v>
      </c>
      <c r="B1135" s="60" t="n">
        <v>46230</v>
      </c>
      <c r="C1135" s="60" t="n">
        <v>46233</v>
      </c>
      <c r="D1135" s="87" t="inlineStr">
        <is>
          <t>IVETE DISSORDI</t>
        </is>
      </c>
      <c r="E1135" s="87" t="inlineStr">
        <is>
          <t>Suhai</t>
        </is>
      </c>
      <c r="F1135" s="87" t="inlineStr">
        <is>
          <t>Jacqueline</t>
        </is>
      </c>
      <c r="G1135" s="87" t="inlineStr">
        <is>
          <t>F</t>
        </is>
      </c>
      <c r="H1135" s="78" t="n">
        <v>5519989724495</v>
      </c>
      <c r="I1135" s="87" t="inlineStr">
        <is>
          <t>Novo</t>
        </is>
      </c>
      <c r="J1135" s="87" t="inlineStr">
        <is>
          <t>Cancelado</t>
        </is>
      </c>
      <c r="K1135" s="60" t="n">
        <v>46236</v>
      </c>
      <c r="L1135" s="87">
        <f>TEXT(A1135,"mmmm")</f>
        <v/>
      </c>
    </row>
    <row r="1136">
      <c r="A1136" s="60" t="n">
        <v>46227</v>
      </c>
      <c r="B1136" s="60" t="n">
        <v>46230</v>
      </c>
      <c r="C1136" s="60" t="n">
        <v>46233</v>
      </c>
      <c r="D1136" s="87" t="inlineStr">
        <is>
          <t>JOSEFA FERNANDES DA FONSECA</t>
        </is>
      </c>
      <c r="E1136" s="87" t="inlineStr">
        <is>
          <t>Azul</t>
        </is>
      </c>
      <c r="F1136" s="87" t="inlineStr">
        <is>
          <t>Jacqueline</t>
        </is>
      </c>
      <c r="G1136" s="87" t="inlineStr">
        <is>
          <t>F</t>
        </is>
      </c>
      <c r="H1136" s="78" t="n">
        <v>5511943895378</v>
      </c>
      <c r="I1136" s="87" t="inlineStr">
        <is>
          <t>Novo</t>
        </is>
      </c>
      <c r="J1136" s="87" t="inlineStr">
        <is>
          <t>Cancelado</t>
        </is>
      </c>
      <c r="K1136" s="60" t="n">
        <v>46236</v>
      </c>
      <c r="L1136" s="87">
        <f>TEXT(A1136,"mmmm")</f>
        <v/>
      </c>
    </row>
    <row r="1137">
      <c r="A1137" s="60" t="n">
        <v>46227</v>
      </c>
      <c r="B1137" s="60" t="n">
        <v>46230</v>
      </c>
      <c r="C1137" s="60" t="n">
        <v>46233</v>
      </c>
      <c r="D1137" s="87" t="inlineStr">
        <is>
          <t>KLAYTON HENRIQUE DOS SANTOS DE OLIVEIRA</t>
        </is>
      </c>
      <c r="E1137" s="87" t="inlineStr">
        <is>
          <t>Suhai</t>
        </is>
      </c>
      <c r="F1137" s="87" t="inlineStr">
        <is>
          <t>Isabella</t>
        </is>
      </c>
      <c r="G1137" s="87" t="inlineStr">
        <is>
          <t>F</t>
        </is>
      </c>
      <c r="H1137" s="78" t="n">
        <v>5511994918932</v>
      </c>
      <c r="I1137" s="87" t="inlineStr">
        <is>
          <t>Novo</t>
        </is>
      </c>
      <c r="J1137" s="87" t="inlineStr">
        <is>
          <t>Assinado</t>
        </is>
      </c>
      <c r="K1137" s="60" t="n">
        <v>46236</v>
      </c>
      <c r="L1137" s="87">
        <f>TEXT(A1137,"mmmm")</f>
        <v/>
      </c>
    </row>
    <row r="1138">
      <c r="A1138" s="60" t="n">
        <v>46227</v>
      </c>
      <c r="B1138" s="60" t="n">
        <v>46230</v>
      </c>
      <c r="C1138" s="60" t="n">
        <v>46233</v>
      </c>
      <c r="D1138" s="87" t="inlineStr">
        <is>
          <t>REGIVALDO DA SILVA CONCEICAO</t>
        </is>
      </c>
      <c r="E1138" s="87" t="inlineStr">
        <is>
          <t>Suhai</t>
        </is>
      </c>
      <c r="F1138" s="87" t="inlineStr">
        <is>
          <t>John</t>
        </is>
      </c>
      <c r="G1138" s="87" t="inlineStr">
        <is>
          <t>M</t>
        </is>
      </c>
      <c r="H1138" s="78" t="n">
        <v>5511957470892</v>
      </c>
      <c r="I1138" s="87" t="inlineStr">
        <is>
          <t>Renovação</t>
        </is>
      </c>
      <c r="J1138" s="87" t="inlineStr">
        <is>
          <t>Assinado</t>
        </is>
      </c>
      <c r="K1138" s="60" t="n">
        <v>46236</v>
      </c>
      <c r="L1138" s="87">
        <f>TEXT(A1138,"mmmm")</f>
        <v/>
      </c>
    </row>
    <row r="1139">
      <c r="A1139" s="60" t="n">
        <v>46227</v>
      </c>
      <c r="B1139" s="60" t="n">
        <v>46230</v>
      </c>
      <c r="C1139" s="60" t="n">
        <v>46233</v>
      </c>
      <c r="D1139" s="87" t="inlineStr">
        <is>
          <t>DONIZETE MACIEL DA SILVA</t>
        </is>
      </c>
      <c r="E1139" s="87" t="inlineStr">
        <is>
          <t>Suhai</t>
        </is>
      </c>
      <c r="F1139" s="87" t="inlineStr">
        <is>
          <t>John</t>
        </is>
      </c>
      <c r="G1139" s="87" t="inlineStr">
        <is>
          <t>M</t>
        </is>
      </c>
      <c r="H1139" s="78" t="n">
        <v>5511980288055</v>
      </c>
      <c r="I1139" s="87" t="inlineStr">
        <is>
          <t>Renovação</t>
        </is>
      </c>
      <c r="J1139" s="87" t="inlineStr">
        <is>
          <t>Assinado</t>
        </is>
      </c>
      <c r="K1139" s="60" t="n">
        <v>46236</v>
      </c>
      <c r="L1139" s="87">
        <f>TEXT(A1139,"mmmm")</f>
        <v/>
      </c>
    </row>
    <row r="1140">
      <c r="A1140" s="60" t="n">
        <v>46227</v>
      </c>
      <c r="B1140" s="60" t="n">
        <v>46230</v>
      </c>
      <c r="C1140" s="60" t="n">
        <v>46233</v>
      </c>
      <c r="D1140" s="87" t="inlineStr">
        <is>
          <t>OTAVIO HENRIQUE PACHECO</t>
        </is>
      </c>
      <c r="E1140" s="87" t="inlineStr">
        <is>
          <t>Mapfre</t>
        </is>
      </c>
      <c r="F1140" s="87" t="inlineStr">
        <is>
          <t>John</t>
        </is>
      </c>
      <c r="G1140" s="87" t="inlineStr">
        <is>
          <t>M</t>
        </is>
      </c>
      <c r="H1140" s="78" t="n">
        <v>5535984181972</v>
      </c>
      <c r="I1140" s="87" t="inlineStr">
        <is>
          <t>Novo</t>
        </is>
      </c>
      <c r="J1140" s="87" t="inlineStr">
        <is>
          <t>Assinado</t>
        </is>
      </c>
      <c r="K1140" s="60" t="n">
        <v>46236</v>
      </c>
      <c r="L1140" s="87">
        <f>TEXT(A1140,"mmmm")</f>
        <v/>
      </c>
    </row>
    <row r="1141">
      <c r="A1141" s="60" t="n">
        <v>46227</v>
      </c>
      <c r="B1141" s="60" t="n">
        <v>46230</v>
      </c>
      <c r="C1141" s="60" t="n">
        <v>46233</v>
      </c>
      <c r="D1141" s="87" t="inlineStr">
        <is>
          <t>EMERSON CANDIDO</t>
        </is>
      </c>
      <c r="E1141" s="87" t="inlineStr">
        <is>
          <t>Azul</t>
        </is>
      </c>
      <c r="F1141" s="87" t="inlineStr">
        <is>
          <t>John</t>
        </is>
      </c>
      <c r="G1141" s="87" t="inlineStr">
        <is>
          <t>M</t>
        </is>
      </c>
      <c r="H1141" s="78" t="n">
        <v>5512997044297</v>
      </c>
      <c r="I1141" s="87" t="inlineStr">
        <is>
          <t>Novo</t>
        </is>
      </c>
      <c r="J1141" s="87" t="inlineStr">
        <is>
          <t>Assinado</t>
        </is>
      </c>
      <c r="K1141" s="60" t="n">
        <v>46236</v>
      </c>
      <c r="L1141" s="87">
        <f>TEXT(A1141,"mmmm")</f>
        <v/>
      </c>
    </row>
    <row r="1142">
      <c r="A1142" s="60" t="n">
        <v>46227</v>
      </c>
      <c r="B1142" s="60" t="n">
        <v>46230</v>
      </c>
      <c r="C1142" s="60" t="n">
        <v>46233</v>
      </c>
      <c r="D1142" s="87" t="inlineStr">
        <is>
          <t>VALDIR DA SILVA JUNIOR</t>
        </is>
      </c>
      <c r="E1142" s="87" t="inlineStr">
        <is>
          <t>Suhai</t>
        </is>
      </c>
      <c r="F1142" s="87" t="inlineStr">
        <is>
          <t>John</t>
        </is>
      </c>
      <c r="G1142" s="87" t="inlineStr">
        <is>
          <t>M</t>
        </is>
      </c>
      <c r="H1142" s="78" t="n">
        <v>5511951857395</v>
      </c>
      <c r="I1142" s="87" t="inlineStr">
        <is>
          <t>Novo</t>
        </is>
      </c>
      <c r="J1142" s="87" t="inlineStr">
        <is>
          <t>Assinado</t>
        </is>
      </c>
      <c r="K1142" s="60" t="n">
        <v>46236</v>
      </c>
      <c r="L1142" s="87">
        <f>TEXT(A1142,"mmmm")</f>
        <v/>
      </c>
    </row>
    <row r="1143">
      <c r="A1143" s="60" t="n">
        <v>46227</v>
      </c>
      <c r="B1143" s="60" t="n">
        <v>46230</v>
      </c>
      <c r="C1143" s="60" t="n">
        <v>46233</v>
      </c>
      <c r="D1143" s="87" t="inlineStr">
        <is>
          <t>VALDIR DA SILVA JUNIOR</t>
        </is>
      </c>
      <c r="E1143" s="87" t="inlineStr">
        <is>
          <t>Suhai</t>
        </is>
      </c>
      <c r="F1143" s="87" t="inlineStr">
        <is>
          <t>John</t>
        </is>
      </c>
      <c r="G1143" s="87" t="inlineStr">
        <is>
          <t>M</t>
        </is>
      </c>
      <c r="H1143" s="78" t="n">
        <v>5511951857395</v>
      </c>
      <c r="I1143" s="87" t="inlineStr">
        <is>
          <t>Novo</t>
        </is>
      </c>
      <c r="J1143" s="87" t="inlineStr">
        <is>
          <t>Assinado</t>
        </is>
      </c>
      <c r="K1143" s="60" t="n">
        <v>46236</v>
      </c>
      <c r="L1143" s="87">
        <f>TEXT(A1143,"mmmm")</f>
        <v/>
      </c>
    </row>
    <row r="1144">
      <c r="A1144" s="60" t="n">
        <v>46227</v>
      </c>
      <c r="B1144" s="60" t="n">
        <v>46230</v>
      </c>
      <c r="C1144" s="60" t="n">
        <v>46233</v>
      </c>
      <c r="D1144" s="87" t="inlineStr">
        <is>
          <t>ADEMIR ANDRADE DA SILVA</t>
        </is>
      </c>
      <c r="E1144" s="87" t="inlineStr">
        <is>
          <t>Azul</t>
        </is>
      </c>
      <c r="F1144" s="87" t="inlineStr">
        <is>
          <t>Jacqueline</t>
        </is>
      </c>
      <c r="G1144" s="87" t="inlineStr">
        <is>
          <t>F</t>
        </is>
      </c>
      <c r="H1144" s="78" t="n">
        <v>5511982543339</v>
      </c>
      <c r="I1144" s="87" t="inlineStr">
        <is>
          <t>Novo</t>
        </is>
      </c>
      <c r="J1144" s="87" t="inlineStr">
        <is>
          <t>Assinado</t>
        </is>
      </c>
      <c r="K1144" s="60" t="n">
        <v>46236</v>
      </c>
      <c r="L1144" s="87">
        <f>TEXT(A1144,"mmmm")</f>
        <v/>
      </c>
    </row>
    <row r="1145">
      <c r="A1145" s="60" t="n">
        <v>46230</v>
      </c>
      <c r="B1145" s="60" t="n">
        <v>46233</v>
      </c>
      <c r="C1145" s="60" t="n">
        <v>46236</v>
      </c>
      <c r="D1145" s="87" t="inlineStr">
        <is>
          <t>MARTINS FERNANDES SOUSA</t>
        </is>
      </c>
      <c r="E1145" s="87" t="inlineStr">
        <is>
          <t>Suhai</t>
        </is>
      </c>
      <c r="F1145" s="87" t="inlineStr">
        <is>
          <t>Jacqueline</t>
        </is>
      </c>
      <c r="G1145" s="87" t="inlineStr">
        <is>
          <t>F</t>
        </is>
      </c>
      <c r="H1145" s="78" t="n">
        <v>5511959224290</v>
      </c>
      <c r="I1145" s="87" t="inlineStr">
        <is>
          <t>Novo</t>
        </is>
      </c>
      <c r="J1145" s="87" t="inlineStr">
        <is>
          <t>Assinado</t>
        </is>
      </c>
      <c r="K1145" s="60" t="n">
        <v>46239</v>
      </c>
      <c r="L1145" s="87">
        <f>TEXT(A1145,"mmmm")</f>
        <v/>
      </c>
    </row>
    <row r="1146">
      <c r="A1146" s="60" t="n">
        <v>46230</v>
      </c>
      <c r="B1146" s="60" t="n">
        <v>46233</v>
      </c>
      <c r="C1146" s="60" t="n">
        <v>46236</v>
      </c>
      <c r="D1146" s="87" t="inlineStr">
        <is>
          <t>LIDIANE CAPITULINO DA SILVA</t>
        </is>
      </c>
      <c r="E1146" s="87" t="inlineStr">
        <is>
          <t>Azul</t>
        </is>
      </c>
      <c r="F1146" s="87" t="inlineStr">
        <is>
          <t>Myrelle</t>
        </is>
      </c>
      <c r="G1146" s="87" t="inlineStr">
        <is>
          <t>F</t>
        </is>
      </c>
      <c r="H1146" s="78" t="n">
        <v>5511932322148</v>
      </c>
      <c r="I1146" s="87" t="inlineStr">
        <is>
          <t>Novo</t>
        </is>
      </c>
      <c r="J1146" s="87" t="inlineStr">
        <is>
          <t>2° envio</t>
        </is>
      </c>
      <c r="K1146" s="60" t="n">
        <v>46239</v>
      </c>
      <c r="L1146" s="87">
        <f>TEXT(A1146,"mmmm")</f>
        <v/>
      </c>
    </row>
    <row r="1147">
      <c r="A1147" s="60" t="n">
        <v>46231</v>
      </c>
      <c r="B1147" s="60" t="n">
        <v>46234</v>
      </c>
      <c r="C1147" s="60" t="n">
        <v>46237</v>
      </c>
      <c r="D1147" s="87" t="inlineStr">
        <is>
          <t>ROBSON DUTRA LIMA</t>
        </is>
      </c>
      <c r="E1147" s="87" t="inlineStr">
        <is>
          <t>Mapfre</t>
        </is>
      </c>
      <c r="F1147" s="87" t="inlineStr">
        <is>
          <t>Isabella</t>
        </is>
      </c>
      <c r="G1147" s="87" t="inlineStr">
        <is>
          <t>F</t>
        </is>
      </c>
      <c r="H1147" s="78" t="n">
        <v>5515996426243</v>
      </c>
      <c r="I1147" s="87" t="inlineStr">
        <is>
          <t>Novo</t>
        </is>
      </c>
      <c r="J1147" s="87" t="inlineStr">
        <is>
          <t>2° envio</t>
        </is>
      </c>
      <c r="K1147" s="60" t="n">
        <v>46240</v>
      </c>
      <c r="L1147" s="87">
        <f>TEXT(A1147,"mmmm")</f>
        <v/>
      </c>
    </row>
    <row r="1148">
      <c r="A1148" s="60" t="n">
        <v>46231</v>
      </c>
      <c r="B1148" s="60" t="n">
        <v>46234</v>
      </c>
      <c r="C1148" s="60" t="n">
        <v>46237</v>
      </c>
      <c r="D1148" s="87" t="inlineStr">
        <is>
          <t>JUNIOR BARBOSA DA SILVA</t>
        </is>
      </c>
      <c r="E1148" s="87" t="inlineStr">
        <is>
          <t>Allianz</t>
        </is>
      </c>
      <c r="F1148" s="87" t="inlineStr">
        <is>
          <t>Isabella</t>
        </is>
      </c>
      <c r="G1148" s="87" t="inlineStr">
        <is>
          <t>F</t>
        </is>
      </c>
      <c r="H1148" s="78" t="n">
        <v>5511941545288</v>
      </c>
      <c r="I1148" s="87" t="inlineStr">
        <is>
          <t>Novo</t>
        </is>
      </c>
      <c r="J1148" s="87" t="inlineStr">
        <is>
          <t>Assinado</t>
        </is>
      </c>
      <c r="K1148" s="60" t="n">
        <v>46240</v>
      </c>
      <c r="L1148" s="87">
        <f>TEXT(A1148,"mmmm")</f>
        <v/>
      </c>
    </row>
    <row r="1149">
      <c r="A1149" s="60" t="n">
        <v>46231</v>
      </c>
      <c r="B1149" s="60" t="n">
        <v>46234</v>
      </c>
      <c r="C1149" s="60" t="n">
        <v>46237</v>
      </c>
      <c r="D1149" s="87" t="inlineStr">
        <is>
          <t>JOSE FLORENTINO DA CONCEICAO</t>
        </is>
      </c>
      <c r="E1149" s="87" t="inlineStr">
        <is>
          <t>Suhai</t>
        </is>
      </c>
      <c r="F1149" s="87" t="inlineStr">
        <is>
          <t>Isabella</t>
        </is>
      </c>
      <c r="G1149" s="87" t="inlineStr">
        <is>
          <t>F</t>
        </is>
      </c>
      <c r="H1149" s="78" t="n">
        <v>5511987429951</v>
      </c>
      <c r="I1149" s="87" t="inlineStr">
        <is>
          <t>Novo</t>
        </is>
      </c>
      <c r="J1149" s="87" t="inlineStr">
        <is>
          <t>Assinado</t>
        </is>
      </c>
      <c r="K1149" s="60" t="n">
        <v>46240</v>
      </c>
      <c r="L1149" s="87">
        <f>TEXT(A1149,"mmmm")</f>
        <v/>
      </c>
    </row>
    <row r="1150">
      <c r="A1150" s="60" t="n">
        <v>46232</v>
      </c>
      <c r="B1150" s="60" t="n">
        <v>46235</v>
      </c>
      <c r="C1150" s="60" t="n">
        <v>46238</v>
      </c>
      <c r="D1150" s="87" t="inlineStr">
        <is>
          <t>LUCIANO BEZERRA DE CARVALHO</t>
        </is>
      </c>
      <c r="E1150" s="87" t="inlineStr">
        <is>
          <t>Suhai</t>
        </is>
      </c>
      <c r="F1150" s="87" t="inlineStr">
        <is>
          <t>John</t>
        </is>
      </c>
      <c r="G1150" s="87" t="inlineStr">
        <is>
          <t>M</t>
        </is>
      </c>
      <c r="H1150" s="78" t="n">
        <v>5511983010522</v>
      </c>
      <c r="I1150" s="87" t="inlineStr">
        <is>
          <t>Novo</t>
        </is>
      </c>
      <c r="J1150" s="87" t="inlineStr">
        <is>
          <t>2° envio</t>
        </is>
      </c>
      <c r="K1150" s="60" t="n">
        <v>46241</v>
      </c>
      <c r="L1150" s="87">
        <f>TEXT(A1150,"mmmm")</f>
        <v/>
      </c>
    </row>
    <row r="1151">
      <c r="A1151" s="60" t="n">
        <v>46232</v>
      </c>
      <c r="B1151" s="60" t="n">
        <v>46235</v>
      </c>
      <c r="C1151" s="60" t="n">
        <v>46238</v>
      </c>
      <c r="D1151" s="87" t="inlineStr">
        <is>
          <t>SANDRO APOLINARIO DOS SANTOS</t>
        </is>
      </c>
      <c r="E1151" s="87" t="inlineStr">
        <is>
          <t>Azul</t>
        </is>
      </c>
      <c r="F1151" s="87" t="inlineStr">
        <is>
          <t>John</t>
        </is>
      </c>
      <c r="G1151" s="87" t="inlineStr">
        <is>
          <t>M</t>
        </is>
      </c>
      <c r="H1151" s="78" t="n">
        <v>5511998062769</v>
      </c>
      <c r="I1151" s="87" t="inlineStr">
        <is>
          <t>Novo</t>
        </is>
      </c>
      <c r="J1151" s="87" t="inlineStr">
        <is>
          <t>2° envio</t>
        </is>
      </c>
      <c r="K1151" s="60" t="n">
        <v>46241</v>
      </c>
      <c r="L1151" s="87">
        <f>TEXT(A1151,"mmmm")</f>
        <v/>
      </c>
    </row>
    <row r="1152">
      <c r="A1152" s="60" t="n">
        <v>46232</v>
      </c>
      <c r="B1152" s="60" t="n">
        <v>46235</v>
      </c>
      <c r="C1152" s="60" t="n">
        <v>46238</v>
      </c>
      <c r="D1152" s="87" t="inlineStr">
        <is>
          <t>SANDRO ROMUALDO DE OLIVEIRA</t>
        </is>
      </c>
      <c r="E1152" s="87" t="inlineStr">
        <is>
          <t>Suhai</t>
        </is>
      </c>
      <c r="F1152" s="87" t="inlineStr">
        <is>
          <t>John</t>
        </is>
      </c>
      <c r="G1152" s="87" t="inlineStr">
        <is>
          <t>M</t>
        </is>
      </c>
      <c r="H1152" s="75" t="n">
        <v>5511956610037</v>
      </c>
      <c r="I1152" s="87" t="inlineStr">
        <is>
          <t>Novo</t>
        </is>
      </c>
      <c r="J1152" s="87" t="inlineStr">
        <is>
          <t>Cancelado</t>
        </is>
      </c>
      <c r="K1152" s="60" t="n">
        <v>46241</v>
      </c>
      <c r="L1152" s="87">
        <f>TEXT(A1152,"mmmm")</f>
        <v/>
      </c>
    </row>
    <row r="1153">
      <c r="A1153" s="60" t="n">
        <v>46232</v>
      </c>
      <c r="B1153" s="60" t="n">
        <v>46235</v>
      </c>
      <c r="C1153" s="60" t="n">
        <v>46238</v>
      </c>
      <c r="D1153" s="87" t="inlineStr">
        <is>
          <t>DAYANE CRISTINA CELESTINO</t>
        </is>
      </c>
      <c r="E1153" s="87" t="inlineStr">
        <is>
          <t>Azul</t>
        </is>
      </c>
      <c r="F1153" s="87" t="inlineStr">
        <is>
          <t>Jacqueline</t>
        </is>
      </c>
      <c r="G1153" s="87" t="inlineStr">
        <is>
          <t>F</t>
        </is>
      </c>
      <c r="H1153" s="78" t="n">
        <v>5516993946751</v>
      </c>
      <c r="I1153" s="87" t="inlineStr">
        <is>
          <t>Novo</t>
        </is>
      </c>
      <c r="J1153" s="87" t="inlineStr">
        <is>
          <t>2° envio</t>
        </is>
      </c>
      <c r="K1153" s="60" t="n">
        <v>46241</v>
      </c>
      <c r="L1153" s="87">
        <f>TEXT(A1153,"mmmm")</f>
        <v/>
      </c>
    </row>
    <row r="1154">
      <c r="A1154" s="60" t="n">
        <v>46233</v>
      </c>
      <c r="B1154" s="60" t="n">
        <v>46236</v>
      </c>
      <c r="C1154" s="60" t="n">
        <v>46239</v>
      </c>
      <c r="D1154" s="87" t="inlineStr">
        <is>
          <t>ANTONIO GABRIEL JUNIOR</t>
        </is>
      </c>
      <c r="E1154" s="87" t="inlineStr">
        <is>
          <t>Suhai</t>
        </is>
      </c>
      <c r="F1154" s="87" t="inlineStr">
        <is>
          <t>Leticia</t>
        </is>
      </c>
      <c r="G1154" s="87" t="inlineStr">
        <is>
          <t>F</t>
        </is>
      </c>
      <c r="H1154" s="78" t="n">
        <v>5511947830171</v>
      </c>
      <c r="I1154" s="87" t="inlineStr">
        <is>
          <t>Novo</t>
        </is>
      </c>
      <c r="J1154" s="87" t="inlineStr">
        <is>
          <t>Assinado</t>
        </is>
      </c>
      <c r="K1154" s="60" t="n">
        <v>46242</v>
      </c>
      <c r="L1154" s="87">
        <f>TEXT(A1154,"mmmm")</f>
        <v/>
      </c>
    </row>
    <row r="1155">
      <c r="A1155" s="60" t="n">
        <v>46233</v>
      </c>
      <c r="B1155" s="60" t="n">
        <v>46236</v>
      </c>
      <c r="C1155" s="60" t="n">
        <v>46239</v>
      </c>
      <c r="D1155" s="87" t="inlineStr">
        <is>
          <t>LEONARDO FERNANDES GARCIA</t>
        </is>
      </c>
      <c r="E1155" s="87" t="inlineStr">
        <is>
          <t>Tokio</t>
        </is>
      </c>
      <c r="F1155" s="87" t="inlineStr">
        <is>
          <t>Leticia</t>
        </is>
      </c>
      <c r="G1155" s="87" t="inlineStr">
        <is>
          <t>F</t>
        </is>
      </c>
      <c r="H1155" s="78" t="n">
        <v>5513981126784</v>
      </c>
      <c r="I1155" s="87" t="inlineStr">
        <is>
          <t>Novo</t>
        </is>
      </c>
      <c r="J1155" s="87" t="inlineStr">
        <is>
          <t>2° envio</t>
        </is>
      </c>
      <c r="K1155" s="60" t="n">
        <v>46242</v>
      </c>
      <c r="L1155" s="87">
        <f>TEXT(A1155,"mmmm")</f>
        <v/>
      </c>
    </row>
    <row r="1156">
      <c r="A1156" s="60" t="n">
        <v>46233</v>
      </c>
      <c r="B1156" s="60" t="n">
        <v>46236</v>
      </c>
      <c r="C1156" s="60" t="n">
        <v>46239</v>
      </c>
      <c r="D1156" s="87" t="inlineStr">
        <is>
          <t>NILO SERGIO GAVA</t>
        </is>
      </c>
      <c r="E1156" s="87" t="inlineStr">
        <is>
          <t>Porto</t>
        </is>
      </c>
      <c r="F1156" s="87" t="inlineStr">
        <is>
          <t>John</t>
        </is>
      </c>
      <c r="G1156" s="87" t="inlineStr">
        <is>
          <t>M</t>
        </is>
      </c>
      <c r="H1156" s="78" t="n">
        <v>5511999028073</v>
      </c>
      <c r="I1156" s="87" t="inlineStr">
        <is>
          <t>Novo</t>
        </is>
      </c>
      <c r="J1156" s="87" t="inlineStr">
        <is>
          <t>Assinado</t>
        </is>
      </c>
      <c r="K1156" s="60" t="n">
        <v>46242</v>
      </c>
      <c r="L1156" s="87">
        <f>TEXT(A1156,"mmmm")</f>
        <v/>
      </c>
    </row>
    <row r="1157">
      <c r="A1157" s="60" t="n">
        <v>46233</v>
      </c>
      <c r="B1157" s="60" t="n">
        <v>46236</v>
      </c>
      <c r="C1157" s="60" t="n">
        <v>46239</v>
      </c>
      <c r="D1157" s="87" t="inlineStr">
        <is>
          <t>TAIZA LIMA SOUSA DE MATOS</t>
        </is>
      </c>
      <c r="E1157" s="87" t="inlineStr">
        <is>
          <t>Azul</t>
        </is>
      </c>
      <c r="F1157" s="87" t="inlineStr">
        <is>
          <t>Jacqueline</t>
        </is>
      </c>
      <c r="G1157" s="87" t="inlineStr">
        <is>
          <t>F</t>
        </is>
      </c>
      <c r="H1157" s="78" t="n">
        <v>5513992021408</v>
      </c>
      <c r="I1157" s="87" t="inlineStr">
        <is>
          <t>Novo</t>
        </is>
      </c>
      <c r="J1157" s="87" t="inlineStr">
        <is>
          <t>2° envio</t>
        </is>
      </c>
      <c r="K1157" s="60" t="n">
        <v>46242</v>
      </c>
      <c r="L1157" s="87">
        <f>TEXT(A1157,"mmmm")</f>
        <v/>
      </c>
    </row>
    <row r="1158">
      <c r="A1158" s="60" t="n">
        <v>46233</v>
      </c>
      <c r="B1158" s="60" t="n">
        <v>46236</v>
      </c>
      <c r="C1158" s="60" t="n">
        <v>46239</v>
      </c>
      <c r="D1158" s="87" t="inlineStr">
        <is>
          <t>CLAUDIO EDUARDO RODRIGUES</t>
        </is>
      </c>
      <c r="E1158" s="87" t="inlineStr">
        <is>
          <t>Suhai</t>
        </is>
      </c>
      <c r="F1158" s="87" t="inlineStr">
        <is>
          <t>Myrelle</t>
        </is>
      </c>
      <c r="G1158" s="87" t="inlineStr">
        <is>
          <t>F</t>
        </is>
      </c>
      <c r="H1158" s="78" t="n">
        <v>5511947377988</v>
      </c>
      <c r="I1158" s="87" t="inlineStr">
        <is>
          <t>Novo</t>
        </is>
      </c>
      <c r="J1158" s="87" t="inlineStr">
        <is>
          <t>Assinado</t>
        </is>
      </c>
      <c r="K1158" s="60" t="n">
        <v>46242</v>
      </c>
      <c r="L1158" s="87">
        <f>TEXT(A1158,"mmmm")</f>
        <v/>
      </c>
    </row>
    <row r="1159">
      <c r="A1159" s="60" t="n">
        <v>46233</v>
      </c>
      <c r="B1159" s="60" t="n">
        <v>46236</v>
      </c>
      <c r="C1159" s="60" t="n">
        <v>46239</v>
      </c>
      <c r="D1159" s="87" t="inlineStr">
        <is>
          <t>FILIPE TADEU OLIVEIRA JULIO</t>
        </is>
      </c>
      <c r="E1159" s="87" t="inlineStr">
        <is>
          <t>Azul</t>
        </is>
      </c>
      <c r="F1159" s="87" t="inlineStr">
        <is>
          <t>John</t>
        </is>
      </c>
      <c r="G1159" s="87" t="inlineStr">
        <is>
          <t>M</t>
        </is>
      </c>
      <c r="H1159" s="78" t="n">
        <v>5511996770979</v>
      </c>
      <c r="I1159" s="87" t="inlineStr">
        <is>
          <t>Renovação</t>
        </is>
      </c>
      <c r="J1159" s="87" t="inlineStr">
        <is>
          <t>Assinado</t>
        </is>
      </c>
      <c r="K1159" s="60" t="n">
        <v>46242</v>
      </c>
      <c r="L1159" s="87">
        <f>TEXT(A1159,"mmmm")</f>
        <v/>
      </c>
    </row>
    <row r="1160">
      <c r="A1160" s="60" t="n">
        <v>46234</v>
      </c>
      <c r="B1160" s="60" t="n">
        <v>46237</v>
      </c>
      <c r="C1160" s="60" t="n">
        <v>46240</v>
      </c>
      <c r="D1160" s="87" t="inlineStr">
        <is>
          <t>SAMIRA VIEIRA</t>
        </is>
      </c>
      <c r="E1160" s="87" t="inlineStr">
        <is>
          <t>Allianz</t>
        </is>
      </c>
      <c r="F1160" s="87" t="inlineStr">
        <is>
          <t>John</t>
        </is>
      </c>
      <c r="G1160" s="87" t="inlineStr">
        <is>
          <t>M</t>
        </is>
      </c>
      <c r="H1160" s="78" t="n">
        <v>5511952862377</v>
      </c>
      <c r="I1160" s="87" t="inlineStr">
        <is>
          <t>Novo</t>
        </is>
      </c>
      <c r="J1160" s="87" t="inlineStr">
        <is>
          <t>Assinado</t>
        </is>
      </c>
      <c r="K1160" s="60" t="n">
        <v>46243</v>
      </c>
      <c r="L1160" s="87">
        <f>TEXT(A1160,"mmmm")</f>
        <v/>
      </c>
    </row>
    <row r="1161">
      <c r="A1161" s="60" t="n">
        <v>46234</v>
      </c>
      <c r="B1161" s="60" t="n">
        <v>46237</v>
      </c>
      <c r="C1161" s="60" t="n">
        <v>46240</v>
      </c>
      <c r="D1161" s="87" t="inlineStr">
        <is>
          <t>WELISON CELSO CIPULLO</t>
        </is>
      </c>
      <c r="E1161" s="87" t="inlineStr">
        <is>
          <t>Suhai</t>
        </is>
      </c>
      <c r="F1161" s="87" t="inlineStr">
        <is>
          <t>Jacqueline</t>
        </is>
      </c>
      <c r="G1161" s="87" t="inlineStr">
        <is>
          <t>F</t>
        </is>
      </c>
      <c r="H1161" s="78" t="n">
        <v>5511930627624</v>
      </c>
      <c r="I1161" s="87" t="inlineStr">
        <is>
          <t>Novo</t>
        </is>
      </c>
      <c r="J1161" s="87" t="inlineStr">
        <is>
          <t>Pendente</t>
        </is>
      </c>
      <c r="K1161" s="60" t="n">
        <v>46243</v>
      </c>
      <c r="L1161" s="87">
        <f>TEXT(A1161,"mmmm")</f>
        <v/>
      </c>
    </row>
    <row r="1162">
      <c r="A1162" s="60" t="n">
        <v>46234</v>
      </c>
      <c r="B1162" s="60" t="n">
        <v>46237</v>
      </c>
      <c r="C1162" s="60" t="n">
        <v>46240</v>
      </c>
      <c r="D1162" s="87" t="inlineStr">
        <is>
          <t>ANA CELIA SANTANA SANTOS</t>
        </is>
      </c>
      <c r="E1162" s="87" t="inlineStr">
        <is>
          <t>Azul</t>
        </is>
      </c>
      <c r="F1162" s="87" t="inlineStr">
        <is>
          <t>Jacqueline</t>
        </is>
      </c>
      <c r="G1162" s="87" t="inlineStr">
        <is>
          <t>F</t>
        </is>
      </c>
      <c r="H1162" s="78" t="n">
        <v>5511930184021</v>
      </c>
      <c r="I1162" s="87" t="inlineStr">
        <is>
          <t>Novo</t>
        </is>
      </c>
      <c r="J1162" s="87" t="inlineStr">
        <is>
          <t>Pendente</t>
        </is>
      </c>
      <c r="K1162" s="60" t="n">
        <v>46243</v>
      </c>
      <c r="L1162" s="87">
        <f>TEXT(A1162,"mmmm")</f>
        <v/>
      </c>
    </row>
    <row r="1163">
      <c r="A1163" s="60" t="n">
        <v>46234</v>
      </c>
      <c r="B1163" s="60" t="n">
        <v>46237</v>
      </c>
      <c r="C1163" s="60" t="n">
        <v>46240</v>
      </c>
      <c r="D1163" s="87" t="inlineStr">
        <is>
          <t>LEANDRO FARIAS ALVES</t>
        </is>
      </c>
      <c r="E1163" s="87" t="inlineStr">
        <is>
          <t>Azul</t>
        </is>
      </c>
      <c r="F1163" s="87" t="inlineStr">
        <is>
          <t>Jacqueline</t>
        </is>
      </c>
      <c r="G1163" s="87" t="inlineStr">
        <is>
          <t>F</t>
        </is>
      </c>
      <c r="H1163" s="78" t="n">
        <v>5511985676227</v>
      </c>
      <c r="I1163" s="87" t="inlineStr">
        <is>
          <t>Novo</t>
        </is>
      </c>
      <c r="J1163" s="87" t="inlineStr">
        <is>
          <t>Pendente</t>
        </is>
      </c>
      <c r="K1163" s="60" t="n">
        <v>46243</v>
      </c>
      <c r="L1163" s="87">
        <f>TEXT(A1163,"mmmm")</f>
        <v/>
      </c>
    </row>
    <row r="1164">
      <c r="A1164" s="60" t="n">
        <v>46234</v>
      </c>
      <c r="B1164" s="60" t="n">
        <v>46237</v>
      </c>
      <c r="C1164" s="60" t="n">
        <v>46240</v>
      </c>
      <c r="D1164" s="87" t="inlineStr">
        <is>
          <t>ERICK DOS SANTOS MARQUES CORREIA</t>
        </is>
      </c>
      <c r="E1164" s="87" t="inlineStr">
        <is>
          <t>Suhai</t>
        </is>
      </c>
      <c r="F1164" s="87" t="inlineStr">
        <is>
          <t>Leticia</t>
        </is>
      </c>
      <c r="G1164" s="87" t="inlineStr">
        <is>
          <t>F</t>
        </is>
      </c>
      <c r="H1164" s="78" t="n">
        <v>5511962607968</v>
      </c>
      <c r="I1164" s="87" t="inlineStr">
        <is>
          <t>Novo</t>
        </is>
      </c>
      <c r="J1164" s="87" t="inlineStr">
        <is>
          <t>Pendente</t>
        </is>
      </c>
      <c r="K1164" s="60" t="n">
        <v>46243</v>
      </c>
      <c r="L1164" s="87">
        <f>TEXT(A1164,"mmmm")</f>
        <v/>
      </c>
    </row>
    <row r="1165" customFormat="1" s="87">
      <c r="A1165" s="60" t="n">
        <v>46234</v>
      </c>
      <c r="B1165" s="60" t="n">
        <v>46237</v>
      </c>
      <c r="C1165" s="60" t="n">
        <v>46240</v>
      </c>
      <c r="D1165" s="87" t="inlineStr">
        <is>
          <t>CRISTIANE MORAIS DA ROCHA LABREGO</t>
        </is>
      </c>
      <c r="E1165" s="87" t="inlineStr">
        <is>
          <t>Azul</t>
        </is>
      </c>
      <c r="F1165" s="87" t="inlineStr">
        <is>
          <t>Jacqueline</t>
        </is>
      </c>
      <c r="G1165" s="87" t="inlineStr">
        <is>
          <t>F</t>
        </is>
      </c>
      <c r="H1165" s="78" t="n">
        <v>5513991209384</v>
      </c>
      <c r="I1165" s="87" t="inlineStr">
        <is>
          <t>Novo</t>
        </is>
      </c>
      <c r="J1165" s="87" t="inlineStr">
        <is>
          <t>Assinado</t>
        </is>
      </c>
      <c r="K1165" s="60" t="n">
        <v>46243</v>
      </c>
      <c r="L1165" s="87">
        <f>TEXT(A1165,"mmmm")</f>
        <v/>
      </c>
    </row>
    <row r="1166" customFormat="1" s="87">
      <c r="A1166" s="60" t="n">
        <v>46234</v>
      </c>
      <c r="B1166" s="60" t="n">
        <v>46237</v>
      </c>
      <c r="C1166" s="60" t="n">
        <v>46240</v>
      </c>
      <c r="D1166" s="87" t="inlineStr">
        <is>
          <t>RANILSON JOSE NASCIMENTO PAES JUNIOR</t>
        </is>
      </c>
      <c r="E1166" s="87" t="inlineStr">
        <is>
          <t>Bradesco</t>
        </is>
      </c>
      <c r="F1166" s="87" t="inlineStr">
        <is>
          <t>Myrelle</t>
        </is>
      </c>
      <c r="G1166" s="87" t="inlineStr">
        <is>
          <t>F</t>
        </is>
      </c>
      <c r="H1166" s="78" t="n">
        <v>5581992050147</v>
      </c>
      <c r="I1166" s="87" t="inlineStr">
        <is>
          <t>Novo</t>
        </is>
      </c>
      <c r="J1166" s="87" t="inlineStr">
        <is>
          <t>Assinado</t>
        </is>
      </c>
      <c r="K1166" s="60" t="n">
        <v>46243</v>
      </c>
      <c r="L1166" s="87">
        <f>TEXT(A1166,"mmmm")</f>
        <v/>
      </c>
    </row>
    <row r="1167">
      <c r="A1167" s="60" t="n">
        <v>46234</v>
      </c>
      <c r="B1167" s="60" t="n">
        <v>46237</v>
      </c>
      <c r="C1167" s="60" t="n">
        <v>46240</v>
      </c>
      <c r="D1167" s="87" t="inlineStr">
        <is>
          <t>GUILHERME VILELA MOREIRA</t>
        </is>
      </c>
      <c r="E1167" s="87" t="inlineStr">
        <is>
          <t>Azul</t>
        </is>
      </c>
      <c r="F1167" s="87" t="inlineStr">
        <is>
          <t>Jacqueline</t>
        </is>
      </c>
      <c r="G1167" s="87" t="inlineStr">
        <is>
          <t>F</t>
        </is>
      </c>
      <c r="H1167" s="78" t="n">
        <v>5511978549001</v>
      </c>
      <c r="I1167" s="87" t="inlineStr">
        <is>
          <t>Novo</t>
        </is>
      </c>
      <c r="J1167" s="87" t="inlineStr">
        <is>
          <t>Assinado</t>
        </is>
      </c>
      <c r="K1167" s="60" t="n">
        <v>46243</v>
      </c>
      <c r="L1167" s="87">
        <f>TEXT(A1167,"mmmm")</f>
        <v/>
      </c>
    </row>
    <row r="1168">
      <c r="A1168" s="60" t="n">
        <v>46234</v>
      </c>
      <c r="B1168" s="60" t="n">
        <v>46237</v>
      </c>
      <c r="C1168" s="60" t="n">
        <v>46240</v>
      </c>
      <c r="D1168" s="87" t="inlineStr">
        <is>
          <t>CRISTIANE OLIVEIRA GONCALVES</t>
        </is>
      </c>
      <c r="E1168" s="87" t="inlineStr">
        <is>
          <t>Mapfre</t>
        </is>
      </c>
      <c r="F1168" s="87" t="inlineStr">
        <is>
          <t>Myrelle</t>
        </is>
      </c>
      <c r="G1168" s="87" t="inlineStr">
        <is>
          <t>F</t>
        </is>
      </c>
      <c r="H1168" s="78" t="n">
        <v>5511999126384</v>
      </c>
      <c r="I1168" s="87" t="inlineStr">
        <is>
          <t>Novo</t>
        </is>
      </c>
      <c r="J1168" s="87" t="inlineStr">
        <is>
          <t>Pendente</t>
        </is>
      </c>
      <c r="K1168" s="60" t="n">
        <v>46243</v>
      </c>
      <c r="L1168" s="87">
        <f>TEXT(A1168,"mmmm")</f>
        <v/>
      </c>
    </row>
    <row r="1169">
      <c r="A1169" s="60" t="n">
        <v>46237</v>
      </c>
      <c r="B1169" s="60" t="n">
        <v>46240</v>
      </c>
      <c r="C1169" s="60" t="n">
        <v>46243</v>
      </c>
      <c r="D1169" s="87" t="inlineStr">
        <is>
          <t>SARAH CHIAPESAN DE FREITAS</t>
        </is>
      </c>
      <c r="E1169" s="87" t="inlineStr">
        <is>
          <t>Tokio</t>
        </is>
      </c>
      <c r="F1169" s="87" t="inlineStr">
        <is>
          <t>Leticia</t>
        </is>
      </c>
      <c r="G1169" s="87" t="inlineStr">
        <is>
          <t>F</t>
        </is>
      </c>
      <c r="H1169" s="78" t="n">
        <v>5511966288975</v>
      </c>
      <c r="I1169" s="87" t="inlineStr">
        <is>
          <t>Novo</t>
        </is>
      </c>
      <c r="J1169" s="87" t="inlineStr">
        <is>
          <t>Pendente</t>
        </is>
      </c>
      <c r="K1169" s="60" t="n">
        <v>46246</v>
      </c>
      <c r="L1169" s="87">
        <f>TEXT(A1169,"mmmm")</f>
        <v/>
      </c>
    </row>
    <row r="1170">
      <c r="A1170" s="60" t="n">
        <v>46237</v>
      </c>
      <c r="B1170" s="60" t="n">
        <v>46240</v>
      </c>
      <c r="C1170" s="60" t="n">
        <v>46243</v>
      </c>
      <c r="D1170" s="87" t="inlineStr">
        <is>
          <t>JOSE REIS DE JESUS</t>
        </is>
      </c>
      <c r="E1170" s="87" t="inlineStr">
        <is>
          <t>Mapfre</t>
        </is>
      </c>
      <c r="F1170" s="87" t="inlineStr">
        <is>
          <t>Leticia</t>
        </is>
      </c>
      <c r="G1170" s="87" t="inlineStr">
        <is>
          <t>F</t>
        </is>
      </c>
      <c r="H1170" s="78" t="n">
        <v>5511992142920</v>
      </c>
      <c r="I1170" s="87" t="inlineStr">
        <is>
          <t>Renovação</t>
        </is>
      </c>
      <c r="J1170" s="87" t="inlineStr">
        <is>
          <t>Pendente</t>
        </is>
      </c>
      <c r="K1170" s="60" t="n">
        <v>46246</v>
      </c>
      <c r="L1170" s="87">
        <f>TEXT(A1170,"mmmm")</f>
        <v/>
      </c>
    </row>
    <row r="1171">
      <c r="A1171" s="60" t="n">
        <v>46237</v>
      </c>
      <c r="B1171" s="60" t="n">
        <v>46240</v>
      </c>
      <c r="C1171" s="60" t="n">
        <v>46243</v>
      </c>
      <c r="D1171" s="87" t="inlineStr">
        <is>
          <t>ARSENIO PEREIRA MARQUES</t>
        </is>
      </c>
      <c r="E1171" s="87" t="inlineStr">
        <is>
          <t>Suhai</t>
        </is>
      </c>
      <c r="F1171" s="87" t="inlineStr">
        <is>
          <t>Isabella</t>
        </is>
      </c>
      <c r="G1171" s="87" t="inlineStr">
        <is>
          <t>F</t>
        </is>
      </c>
      <c r="H1171" s="78" t="n">
        <v>5511992074414</v>
      </c>
      <c r="I1171" s="87" t="inlineStr">
        <is>
          <t>Renovação</t>
        </is>
      </c>
      <c r="J1171" s="87" t="inlineStr">
        <is>
          <t>Pendente</t>
        </is>
      </c>
      <c r="K1171" s="60" t="n">
        <v>46246</v>
      </c>
      <c r="L1171" s="87">
        <f>TEXT(A1171,"mmmm")</f>
        <v/>
      </c>
    </row>
    <row r="1172">
      <c r="A1172" s="60" t="n">
        <v>46237</v>
      </c>
      <c r="B1172" s="60" t="n">
        <v>46240</v>
      </c>
      <c r="C1172" s="60" t="n">
        <v>46243</v>
      </c>
      <c r="D1172" s="87" t="inlineStr">
        <is>
          <t>RENATA LUANA DA SILVA</t>
        </is>
      </c>
      <c r="E1172" s="87" t="inlineStr">
        <is>
          <t>Porto</t>
        </is>
      </c>
      <c r="F1172" s="87" t="inlineStr">
        <is>
          <t>Isabella</t>
        </is>
      </c>
      <c r="G1172" s="87" t="inlineStr">
        <is>
          <t>F</t>
        </is>
      </c>
      <c r="H1172" s="78" t="n">
        <v>5511989320357</v>
      </c>
      <c r="I1172" s="87" t="inlineStr">
        <is>
          <t>Novo</t>
        </is>
      </c>
      <c r="J1172" s="87" t="inlineStr">
        <is>
          <t>Assinado</t>
        </is>
      </c>
      <c r="K1172" s="60" t="n">
        <v>46246</v>
      </c>
      <c r="L1172" s="87">
        <f>TEXT(A1172,"mmmm")</f>
        <v/>
      </c>
    </row>
    <row r="1173">
      <c r="A1173" s="60" t="n"/>
      <c r="B1173" s="60" t="n"/>
      <c r="C1173" s="60" t="n"/>
      <c r="D1173" s="87" t="n"/>
      <c r="E1173" s="87" t="n"/>
      <c r="F1173" s="87" t="n"/>
      <c r="G1173" s="87" t="n"/>
      <c r="H1173" s="80" t="n"/>
      <c r="I1173" s="87" t="n"/>
      <c r="K1173" s="60" t="n"/>
      <c r="L1173" s="87">
        <f>TEXT(A1173,"mmmm")</f>
        <v/>
      </c>
    </row>
    <row r="1174">
      <c r="A1174" s="60" t="n"/>
      <c r="B1174" s="60" t="n"/>
      <c r="C1174" s="60" t="n"/>
      <c r="D1174" s="87" t="n"/>
      <c r="E1174" s="87" t="n"/>
      <c r="F1174" s="87" t="n"/>
      <c r="G1174" s="87" t="n"/>
      <c r="H1174" s="80" t="n"/>
      <c r="I1174" s="87" t="n"/>
      <c r="K1174" s="60" t="n"/>
      <c r="L1174" s="87">
        <f>TEXT(A1174,"mmmm")</f>
        <v/>
      </c>
    </row>
    <row r="1175">
      <c r="A1175" s="60" t="n"/>
      <c r="B1175" s="60" t="n"/>
      <c r="C1175" s="60" t="n"/>
      <c r="D1175" s="87" t="n"/>
      <c r="E1175" s="87" t="n"/>
      <c r="F1175" s="87" t="n"/>
      <c r="G1175" s="87" t="n"/>
      <c r="H1175" s="80" t="n"/>
      <c r="I1175" s="87" t="n"/>
      <c r="K1175" s="60" t="n"/>
      <c r="L1175" s="87">
        <f>TEXT(A1175,"mmmm")</f>
        <v/>
      </c>
    </row>
    <row r="1176">
      <c r="A1176" s="60" t="n"/>
      <c r="B1176" s="60" t="n"/>
      <c r="C1176" s="60" t="n"/>
      <c r="D1176" s="87" t="n"/>
      <c r="E1176" s="87" t="n"/>
      <c r="F1176" s="87" t="n"/>
      <c r="G1176" s="87" t="n"/>
      <c r="H1176" s="80" t="n"/>
      <c r="I1176" s="87" t="n"/>
      <c r="K1176" s="60" t="n"/>
      <c r="L1176" s="87">
        <f>TEXT(A1176,"mmmm")</f>
        <v/>
      </c>
    </row>
    <row r="1177">
      <c r="A1177" s="60" t="n"/>
      <c r="B1177" s="60" t="n"/>
      <c r="C1177" s="60" t="n"/>
      <c r="D1177" s="87" t="n"/>
      <c r="E1177" s="87" t="n"/>
      <c r="F1177" s="87" t="n"/>
      <c r="G1177" s="87" t="n"/>
      <c r="H1177" s="80" t="n"/>
      <c r="I1177" s="87" t="n"/>
      <c r="K1177" s="60" t="n"/>
      <c r="L1177" s="87">
        <f>TEXT(A1177,"mmmm")</f>
        <v/>
      </c>
    </row>
    <row r="1178">
      <c r="A1178" s="60" t="n"/>
      <c r="B1178" s="60" t="n"/>
      <c r="C1178" s="60" t="n"/>
      <c r="D1178" s="87" t="n"/>
      <c r="E1178" s="87" t="n"/>
      <c r="F1178" s="87" t="n"/>
      <c r="G1178" s="87" t="n"/>
      <c r="H1178" s="80" t="n"/>
      <c r="I1178" s="87" t="n"/>
      <c r="K1178" s="60" t="n"/>
      <c r="L1178" s="87">
        <f>TEXT(A1178,"mmmm")</f>
        <v/>
      </c>
    </row>
    <row r="1179">
      <c r="A1179" s="60" t="n"/>
      <c r="B1179" s="60" t="n"/>
      <c r="C1179" s="60" t="n"/>
      <c r="D1179" s="87" t="n"/>
      <c r="E1179" s="87" t="n"/>
      <c r="F1179" s="87" t="n"/>
      <c r="G1179" s="87" t="n"/>
      <c r="H1179" s="80" t="n"/>
      <c r="I1179" s="87" t="n"/>
      <c r="K1179" s="60" t="n"/>
      <c r="L1179" s="87">
        <f>TEXT(A1179,"mmmm")</f>
        <v/>
      </c>
    </row>
    <row r="1180">
      <c r="A1180" s="60" t="n"/>
      <c r="B1180" s="60" t="n"/>
      <c r="C1180" s="60" t="n"/>
      <c r="D1180" s="87" t="n"/>
      <c r="E1180" s="87" t="n"/>
      <c r="F1180" s="87" t="n"/>
      <c r="G1180" s="87" t="n"/>
      <c r="H1180" s="80" t="n"/>
      <c r="I1180" s="87" t="n"/>
      <c r="K1180" s="60" t="n"/>
      <c r="L1180" s="87">
        <f>TEXT(A1180,"mmmm")</f>
        <v/>
      </c>
    </row>
    <row r="1181">
      <c r="A1181" s="60" t="n"/>
      <c r="B1181" s="60" t="n"/>
      <c r="C1181" s="60" t="n"/>
      <c r="D1181" s="87" t="n"/>
      <c r="E1181" s="87" t="n"/>
      <c r="F1181" s="87" t="n"/>
      <c r="G1181" s="87" t="n"/>
      <c r="H1181" s="80" t="n"/>
      <c r="I1181" s="87" t="n"/>
      <c r="K1181" s="60" t="n"/>
      <c r="L1181" s="87">
        <f>TEXT(A1181,"mmmm")</f>
        <v/>
      </c>
    </row>
    <row r="1182">
      <c r="A1182" s="60" t="n"/>
      <c r="B1182" s="60" t="n"/>
      <c r="C1182" s="60" t="n"/>
      <c r="D1182" s="87" t="n"/>
      <c r="E1182" s="87" t="n"/>
      <c r="F1182" s="87" t="n"/>
      <c r="G1182" s="87" t="n"/>
      <c r="H1182" s="80" t="n"/>
      <c r="I1182" s="87" t="n"/>
      <c r="K1182" s="60" t="n"/>
      <c r="L1182" s="87">
        <f>TEXT(A1182,"mmmm")</f>
        <v/>
      </c>
    </row>
    <row r="1183">
      <c r="A1183" s="60" t="n"/>
      <c r="B1183" s="60" t="n"/>
      <c r="C1183" s="60" t="n"/>
      <c r="D1183" s="87" t="n"/>
      <c r="E1183" s="87" t="n"/>
      <c r="F1183" s="87" t="n"/>
      <c r="G1183" s="87" t="n"/>
      <c r="H1183" s="80" t="n"/>
      <c r="I1183" s="87" t="n"/>
      <c r="K1183" s="60" t="n"/>
      <c r="L1183" s="87">
        <f>TEXT(A1183,"mmmm")</f>
        <v/>
      </c>
    </row>
    <row r="1184">
      <c r="A1184" s="60" t="n"/>
      <c r="B1184" s="60" t="n"/>
      <c r="C1184" s="60" t="n"/>
      <c r="D1184" s="87" t="n"/>
      <c r="E1184" s="87" t="n"/>
      <c r="F1184" s="87" t="n"/>
      <c r="G1184" s="87" t="n"/>
      <c r="H1184" s="80" t="n"/>
      <c r="I1184" s="87" t="n"/>
      <c r="K1184" s="60" t="n"/>
      <c r="L1184" s="87">
        <f>TEXT(A1184,"mmmm")</f>
        <v/>
      </c>
    </row>
    <row r="1185">
      <c r="A1185" s="60" t="n"/>
      <c r="B1185" s="60" t="n"/>
      <c r="C1185" s="60" t="n"/>
      <c r="D1185" s="87" t="n"/>
      <c r="E1185" s="87" t="n"/>
      <c r="F1185" s="87" t="n"/>
      <c r="G1185" s="87" t="n"/>
      <c r="H1185" s="80" t="n"/>
      <c r="I1185" s="87" t="n"/>
      <c r="K1185" s="60" t="n"/>
      <c r="L1185" s="87">
        <f>TEXT(A1185,"mmmm")</f>
        <v/>
      </c>
    </row>
    <row r="1186">
      <c r="A1186" s="60" t="n"/>
      <c r="B1186" s="60" t="n"/>
      <c r="C1186" s="60" t="n"/>
      <c r="D1186" s="87" t="n"/>
      <c r="E1186" s="87" t="n"/>
      <c r="F1186" s="87" t="n"/>
      <c r="G1186" s="87" t="n"/>
      <c r="H1186" s="80" t="n"/>
      <c r="I1186" s="87" t="n"/>
      <c r="K1186" s="60" t="n"/>
      <c r="L1186" s="87">
        <f>TEXT(A1186,"mmmm")</f>
        <v/>
      </c>
    </row>
    <row r="1187">
      <c r="A1187" s="60" t="n"/>
      <c r="B1187" s="60" t="n"/>
      <c r="C1187" s="60" t="n"/>
      <c r="D1187" s="87" t="n"/>
      <c r="E1187" s="87" t="n"/>
      <c r="F1187" s="87" t="n"/>
      <c r="G1187" s="87" t="n"/>
      <c r="H1187" s="80" t="n"/>
      <c r="I1187" s="87" t="n"/>
      <c r="K1187" s="60" t="n"/>
      <c r="L1187" s="87">
        <f>TEXT(A1187,"mmmm")</f>
        <v/>
      </c>
    </row>
    <row r="1188">
      <c r="A1188" s="60" t="n"/>
      <c r="B1188" s="60" t="n"/>
      <c r="C1188" s="60" t="n"/>
      <c r="D1188" s="87" t="n"/>
      <c r="E1188" s="87" t="n"/>
      <c r="F1188" s="87" t="n"/>
      <c r="G1188" s="87" t="n"/>
      <c r="H1188" s="80" t="n"/>
      <c r="I1188" s="87" t="n"/>
      <c r="K1188" s="60" t="n"/>
      <c r="L1188" s="87">
        <f>TEXT(A1188,"mmmm")</f>
        <v/>
      </c>
    </row>
    <row r="1189">
      <c r="A1189" s="60" t="n"/>
      <c r="B1189" s="60" t="n"/>
      <c r="C1189" s="60" t="n"/>
      <c r="D1189" s="87" t="n"/>
      <c r="E1189" s="87" t="n"/>
      <c r="F1189" s="87" t="n"/>
      <c r="G1189" s="87" t="n"/>
      <c r="H1189" s="80" t="n"/>
      <c r="I1189" s="87" t="n"/>
      <c r="K1189" s="60" t="n"/>
      <c r="L1189" s="87">
        <f>TEXT(A1189,"mmmm")</f>
        <v/>
      </c>
    </row>
    <row r="1190">
      <c r="A1190" s="60" t="n"/>
      <c r="B1190" s="60" t="n"/>
      <c r="C1190" s="60" t="n"/>
      <c r="D1190" s="87" t="n"/>
      <c r="E1190" s="87" t="n"/>
      <c r="F1190" s="87" t="n"/>
      <c r="G1190" s="87" t="n"/>
      <c r="H1190" s="80" t="n"/>
      <c r="I1190" s="87" t="n"/>
      <c r="K1190" s="60" t="n"/>
      <c r="L1190" s="87">
        <f>TEXT(A1190,"mmmm")</f>
        <v/>
      </c>
    </row>
    <row r="1191">
      <c r="A1191" s="60" t="n"/>
      <c r="B1191" s="60" t="n"/>
      <c r="C1191" s="60" t="n"/>
      <c r="D1191" s="87" t="n"/>
      <c r="E1191" s="87" t="n"/>
      <c r="F1191" s="87" t="n"/>
      <c r="G1191" s="87" t="n"/>
      <c r="H1191" s="80" t="n"/>
      <c r="I1191" s="87" t="n"/>
      <c r="K1191" s="60" t="n"/>
      <c r="L1191" s="87">
        <f>TEXT(A1191,"mmmm")</f>
        <v/>
      </c>
    </row>
    <row r="1192">
      <c r="A1192" s="60" t="n"/>
      <c r="B1192" s="60" t="n"/>
      <c r="C1192" s="60" t="n"/>
      <c r="D1192" s="87" t="n"/>
      <c r="E1192" s="87" t="n"/>
      <c r="F1192" s="87" t="n"/>
      <c r="G1192" s="87" t="n"/>
      <c r="H1192" s="80" t="n"/>
      <c r="I1192" s="87" t="n"/>
      <c r="K1192" s="60" t="n"/>
      <c r="L1192" s="87">
        <f>TEXT(A1192,"mmmm")</f>
        <v/>
      </c>
    </row>
    <row r="1193">
      <c r="A1193" s="60" t="n"/>
      <c r="B1193" s="60" t="n"/>
      <c r="C1193" s="60" t="n"/>
      <c r="D1193" s="87" t="n"/>
      <c r="E1193" s="87" t="n"/>
      <c r="F1193" s="87" t="n"/>
      <c r="G1193" s="87" t="n"/>
      <c r="H1193" s="90" t="n"/>
      <c r="I1193" s="87" t="n"/>
      <c r="K1193" s="60" t="n"/>
      <c r="L1193" s="87">
        <f>TEXT(A1193,"mmmm")</f>
        <v/>
      </c>
    </row>
    <row r="1194">
      <c r="A1194" s="60" t="n"/>
      <c r="B1194" s="60" t="n"/>
      <c r="C1194" s="60" t="n"/>
      <c r="D1194" s="87" t="n"/>
      <c r="E1194" s="87" t="n"/>
      <c r="F1194" s="87" t="n"/>
      <c r="G1194" s="87" t="n"/>
      <c r="H1194" s="90" t="n"/>
      <c r="I1194" s="87" t="n"/>
      <c r="K1194" s="60" t="n"/>
      <c r="L1194" s="87">
        <f>TEXT(A1194,"mmmm")</f>
        <v/>
      </c>
    </row>
    <row r="1195">
      <c r="D1195" s="54" t="n"/>
    </row>
  </sheetData>
  <conditionalFormatting sqref="J2:J1196 J988:K1194 K162:K185 K580:K603 K774:K797 K985:K987">
    <cfRule type="cellIs" priority="191" operator="equal" dxfId="7">
      <formula>"Assinado"</formula>
    </cfRule>
    <cfRule type="cellIs" priority="192" operator="equal" dxfId="4">
      <formula>"Pendente"</formula>
    </cfRule>
  </conditionalFormatting>
  <conditionalFormatting sqref="J1:J1048576 J988:K1194 K1 K162:K185 K580:K603 K774:K797 K985:K987">
    <cfRule type="cellIs" priority="188" operator="equal" dxfId="1">
      <formula>"Consultor em contato"</formula>
    </cfRule>
    <cfRule type="cellIs" priority="189" operator="equal" dxfId="0">
      <formula>"Cancelado"</formula>
    </cfRule>
    <cfRule type="cellIs" priority="190" operator="equal" dxfId="7">
      <formula>"Assinado(manual)"</formula>
    </cfRule>
  </conditionalFormatting>
  <conditionalFormatting sqref="E1:E10 E12:E1048576">
    <cfRule type="cellIs" priority="187" operator="equal" dxfId="6">
      <formula>"Tokio"</formula>
    </cfRule>
  </conditionalFormatting>
  <conditionalFormatting sqref="J2:J1194">
    <cfRule type="cellIs" priority="185" operator="equal" dxfId="5">
      <formula>"Na planilha"</formula>
    </cfRule>
    <cfRule type="cellIs" priority="186" operator="equal" dxfId="4">
      <formula>"Pendente (manual)"</formula>
    </cfRule>
  </conditionalFormatting>
  <conditionalFormatting sqref="J1:J1048576 J988:K1194 K162:K185 K580:K603 K774:K797 K985:K987">
    <cfRule type="cellIs" priority="182" operator="equal" dxfId="1">
      <formula>"Sem retorno do consultor"</formula>
    </cfRule>
    <cfRule type="cellIs" priority="183" operator="equal" dxfId="1">
      <formula>"2° envio"</formula>
    </cfRule>
    <cfRule type="cellIs" priority="184" operator="equal" dxfId="1">
      <formula>"Envio e-mail"</formula>
    </cfRule>
  </conditionalFormatting>
  <conditionalFormatting sqref="J1:J1048576">
    <cfRule type="cellIs" priority="181" operator="equal" dxfId="0">
      <formula>"Erro"</formula>
    </cfRule>
  </conditionalFormatting>
  <dataValidations count="4">
    <dataValidation sqref="E2:E549 E551:E1048576" showDropDown="0" showInputMessage="1" showErrorMessage="1" allowBlank="1" type="list">
      <formula1>INDIRECT("Tabela1[Seguradoras]")</formula1>
    </dataValidation>
    <dataValidation sqref="J2:J1048576" showDropDown="0" showInputMessage="1" showErrorMessage="1" allowBlank="1" type="list">
      <formula1>INDIRECT("Tabela6[status]")</formula1>
    </dataValidation>
    <dataValidation sqref="F2:F1048576" showDropDown="0" showInputMessage="1" showErrorMessage="1" allowBlank="1" type="list">
      <formula1>INDIRECT("Tabela5[consultores]")</formula1>
    </dataValidation>
    <dataValidation sqref="I2:I1048576" showDropDown="0" showInputMessage="1" showErrorMessage="1" allowBlank="1" type="list">
      <formula1>INDIRECT("Tabela10[tipo]")</formula1>
    </dataValidation>
  </dataValidation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K179"/>
  <sheetViews>
    <sheetView topLeftCell="A10" workbookViewId="0">
      <selection activeCell="C20" sqref="C20"/>
    </sheetView>
  </sheetViews>
  <sheetFormatPr baseColWidth="8" defaultRowHeight="15"/>
  <cols>
    <col width="14.140625" customWidth="1" style="62" min="1" max="1"/>
    <col width="17" customWidth="1" style="62" min="2" max="2"/>
    <col width="43.5703125" bestFit="1" customWidth="1" style="87" min="3" max="3"/>
    <col width="17" customWidth="1" style="87" min="4" max="4"/>
    <col width="15.85546875" customWidth="1" style="87" min="5" max="6"/>
    <col width="21.140625" bestFit="1" customWidth="1" style="87" min="7" max="7"/>
    <col width="0.28515625" customWidth="1" style="83" min="8" max="8"/>
    <col width="13" customWidth="1" style="62" min="9" max="9"/>
    <col width="13.140625" customWidth="1" style="62" min="10" max="10"/>
    <col width="14.140625" bestFit="1" customWidth="1" style="62" min="11" max="11"/>
    <col width="11.140625" customWidth="1" style="83" min="12" max="12"/>
    <col width="9.140625" customWidth="1" style="83" min="13" max="16384"/>
  </cols>
  <sheetData>
    <row r="1" ht="15.75" customHeight="1" s="83" thickBot="1">
      <c r="A1" s="2" t="inlineStr">
        <is>
          <t>Data</t>
        </is>
      </c>
      <c r="B1" s="2" t="inlineStr">
        <is>
          <t>Cobrança</t>
        </is>
      </c>
      <c r="C1" s="2" t="inlineStr">
        <is>
          <t>Nome do cliente</t>
        </is>
      </c>
      <c r="D1" s="2" t="inlineStr">
        <is>
          <t>Seguradora</t>
        </is>
      </c>
      <c r="E1" s="2" t="inlineStr">
        <is>
          <t>Consultor</t>
        </is>
      </c>
      <c r="F1" s="2" t="inlineStr">
        <is>
          <t>Tipo</t>
        </is>
      </c>
      <c r="G1" s="2" t="inlineStr">
        <is>
          <t>Status</t>
        </is>
      </c>
      <c r="I1" s="12" t="inlineStr">
        <is>
          <t>Data de reenvio</t>
        </is>
      </c>
      <c r="J1" s="12" t="inlineStr">
        <is>
          <t>Data de reenvi</t>
        </is>
      </c>
      <c r="K1" s="12" t="inlineStr">
        <is>
          <t>Consultor</t>
        </is>
      </c>
    </row>
    <row r="2" ht="15.75" customHeight="1" s="83" thickTop="1">
      <c r="A2" s="14" t="n">
        <v>46055</v>
      </c>
      <c r="B2" s="14" t="n">
        <v>46063</v>
      </c>
      <c r="C2" s="87" t="inlineStr">
        <is>
          <t>ANTONIO ELIDONE DE SOUZA</t>
        </is>
      </c>
      <c r="D2" s="87" t="inlineStr">
        <is>
          <t>Azul</t>
        </is>
      </c>
      <c r="E2" s="87" t="inlineStr">
        <is>
          <t>Enzo</t>
        </is>
      </c>
      <c r="G2" s="87" t="inlineStr">
        <is>
          <t>Assinado(manual)</t>
        </is>
      </c>
    </row>
    <row r="3">
      <c r="A3" s="14" t="n">
        <v>46055</v>
      </c>
      <c r="B3" s="14" t="n">
        <v>46063</v>
      </c>
      <c r="C3" s="87" t="inlineStr">
        <is>
          <t>SERGIO DE VASCONCELLOS</t>
        </is>
      </c>
      <c r="D3" s="87" t="inlineStr">
        <is>
          <t>Tokio</t>
        </is>
      </c>
      <c r="E3" s="87" t="inlineStr">
        <is>
          <t>Enzo</t>
        </is>
      </c>
      <c r="G3" s="87" t="inlineStr">
        <is>
          <t>Assinado</t>
        </is>
      </c>
    </row>
    <row r="4">
      <c r="A4" s="14" t="n">
        <v>46055</v>
      </c>
      <c r="B4" s="14" t="n">
        <v>46063</v>
      </c>
      <c r="C4" s="87" t="inlineStr">
        <is>
          <t>ERIVAN DA CONCEICAO</t>
        </is>
      </c>
      <c r="D4" s="87" t="inlineStr">
        <is>
          <t>Azul</t>
        </is>
      </c>
      <c r="E4" s="87" t="inlineStr">
        <is>
          <t>Isabella</t>
        </is>
      </c>
      <c r="G4" s="87" t="inlineStr">
        <is>
          <t>Assinado</t>
        </is>
      </c>
    </row>
    <row r="5">
      <c r="A5" s="14" t="n">
        <v>46056</v>
      </c>
      <c r="B5" s="14" t="n">
        <v>46092</v>
      </c>
      <c r="C5" s="87" t="inlineStr">
        <is>
          <t>JOSE RAIMUNDO ALVES ALMEIDA</t>
        </is>
      </c>
      <c r="D5" s="87" t="inlineStr">
        <is>
          <t>Suhai</t>
        </is>
      </c>
      <c r="E5" s="87" t="inlineStr">
        <is>
          <t>Leticia</t>
        </is>
      </c>
      <c r="G5" s="87" t="inlineStr">
        <is>
          <t>Cancelado</t>
        </is>
      </c>
    </row>
    <row r="6">
      <c r="A6" s="14" t="n">
        <v>46056</v>
      </c>
      <c r="B6" s="14" t="n">
        <v>46092</v>
      </c>
      <c r="C6" s="87" t="inlineStr">
        <is>
          <t>JOSE EDUARDO SANTOS DE SOUZA</t>
        </is>
      </c>
      <c r="D6" s="87" t="inlineStr">
        <is>
          <t>Mapfre</t>
        </is>
      </c>
      <c r="E6" s="87" t="inlineStr">
        <is>
          <t>Leticia</t>
        </is>
      </c>
      <c r="G6" s="87" t="inlineStr">
        <is>
          <t>Cancelado</t>
        </is>
      </c>
    </row>
    <row r="7">
      <c r="A7" s="14" t="n">
        <v>46056</v>
      </c>
      <c r="B7" s="14" t="n">
        <v>46092</v>
      </c>
      <c r="C7" s="87" t="inlineStr">
        <is>
          <t>EDINEIS TEODORO NEVES ALMEIDA</t>
        </is>
      </c>
      <c r="D7" s="87" t="inlineStr">
        <is>
          <t>Azul</t>
        </is>
      </c>
      <c r="E7" s="87" t="inlineStr">
        <is>
          <t>Myrelle</t>
        </is>
      </c>
      <c r="G7" s="87" t="inlineStr">
        <is>
          <t>Assinado</t>
        </is>
      </c>
    </row>
    <row r="8">
      <c r="A8" s="14" t="n">
        <v>46056</v>
      </c>
      <c r="B8" s="14" t="n">
        <v>46092</v>
      </c>
      <c r="C8" s="87" t="inlineStr">
        <is>
          <t>SEBASTIAO PEREIRA</t>
        </is>
      </c>
      <c r="D8" s="87" t="inlineStr">
        <is>
          <t>Tokio</t>
        </is>
      </c>
      <c r="E8" s="87" t="inlineStr">
        <is>
          <t>Jacqueline</t>
        </is>
      </c>
      <c r="G8" s="87" t="inlineStr">
        <is>
          <t>Assinado(manual)</t>
        </is>
      </c>
    </row>
    <row r="9">
      <c r="A9" s="14" t="n">
        <v>46056</v>
      </c>
      <c r="B9" s="14" t="n">
        <v>46092</v>
      </c>
      <c r="C9" s="87" t="inlineStr">
        <is>
          <t>VALDIR MARIA DE JESUS</t>
        </is>
      </c>
      <c r="D9" s="87" t="inlineStr">
        <is>
          <t>Azul</t>
        </is>
      </c>
      <c r="E9" s="87" t="inlineStr">
        <is>
          <t>Jacqueline</t>
        </is>
      </c>
      <c r="G9" s="87" t="inlineStr">
        <is>
          <t>Assinado</t>
        </is>
      </c>
    </row>
    <row r="10">
      <c r="A10" s="14" t="n">
        <v>46056</v>
      </c>
      <c r="B10" s="14" t="n">
        <v>46092</v>
      </c>
      <c r="C10" s="87" t="inlineStr">
        <is>
          <t>CRISTIANE OLIVEIRA SOUZA</t>
        </is>
      </c>
      <c r="D10" s="87" t="inlineStr">
        <is>
          <t>Suhai</t>
        </is>
      </c>
      <c r="E10" s="87" t="inlineStr">
        <is>
          <t>Jacqueline</t>
        </is>
      </c>
      <c r="G10" s="87" t="inlineStr">
        <is>
          <t>Assinado</t>
        </is>
      </c>
    </row>
    <row r="11">
      <c r="A11" s="14" t="n">
        <v>46056</v>
      </c>
      <c r="B11" s="14" t="n">
        <v>46092</v>
      </c>
      <c r="C11" s="87" t="inlineStr">
        <is>
          <t>JOSE EDUARDO GASPAROTI</t>
        </is>
      </c>
      <c r="D11" s="87" t="inlineStr">
        <is>
          <t>Mapfre</t>
        </is>
      </c>
      <c r="E11" s="87" t="inlineStr">
        <is>
          <t>John</t>
        </is>
      </c>
      <c r="G11" s="87" t="inlineStr">
        <is>
          <t>Assinado</t>
        </is>
      </c>
    </row>
    <row r="12">
      <c r="A12" s="14" t="n">
        <v>46056</v>
      </c>
      <c r="B12" s="14" t="n">
        <v>46092</v>
      </c>
      <c r="C12" s="87" t="inlineStr">
        <is>
          <t>PAOLI E LEIROS COMERCIO DE ALIMENTOS LTDA</t>
        </is>
      </c>
      <c r="D12" s="87" t="inlineStr">
        <is>
          <t>Porto</t>
        </is>
      </c>
      <c r="E12" s="87" t="inlineStr">
        <is>
          <t>John</t>
        </is>
      </c>
      <c r="G12" s="87" t="inlineStr">
        <is>
          <t>Assinado</t>
        </is>
      </c>
    </row>
    <row r="13">
      <c r="A13" s="14" t="n">
        <v>46056</v>
      </c>
      <c r="B13" s="14" t="n">
        <v>46092</v>
      </c>
      <c r="C13" s="87" t="inlineStr">
        <is>
          <t>EDUARDO LUIS OLIBONI BASTOS</t>
        </is>
      </c>
      <c r="D13" s="87" t="inlineStr">
        <is>
          <t>Allianz</t>
        </is>
      </c>
      <c r="E13" s="87" t="inlineStr">
        <is>
          <t>John</t>
        </is>
      </c>
      <c r="G13" s="87" t="inlineStr">
        <is>
          <t>Assinado(manual)</t>
        </is>
      </c>
    </row>
    <row r="14">
      <c r="A14" s="14" t="n">
        <v>46056</v>
      </c>
      <c r="B14" s="14" t="n">
        <v>46092</v>
      </c>
      <c r="C14" s="87" t="inlineStr">
        <is>
          <t>PLINIO MARCOS FERRARI</t>
        </is>
      </c>
      <c r="D14" s="87" t="inlineStr">
        <is>
          <t>Zurich</t>
        </is>
      </c>
      <c r="E14" s="87" t="inlineStr">
        <is>
          <t>Enzo</t>
        </is>
      </c>
      <c r="G14" s="87" t="inlineStr">
        <is>
          <t>Assinado</t>
        </is>
      </c>
    </row>
    <row r="15">
      <c r="A15" s="14" t="n">
        <v>46056</v>
      </c>
      <c r="B15" s="14" t="n">
        <v>46092</v>
      </c>
      <c r="C15" s="87" t="inlineStr">
        <is>
          <t>EDUARDO ATSUSHI KAWAI</t>
        </is>
      </c>
      <c r="D15" s="87" t="inlineStr">
        <is>
          <t>Tokio</t>
        </is>
      </c>
      <c r="E15" s="87" t="inlineStr">
        <is>
          <t>Enzo</t>
        </is>
      </c>
      <c r="G15" s="87" t="inlineStr">
        <is>
          <t>Assinado</t>
        </is>
      </c>
    </row>
    <row r="16">
      <c r="A16" s="14" t="n">
        <v>46056</v>
      </c>
      <c r="B16" s="14" t="n">
        <v>46092</v>
      </c>
      <c r="C16" s="87" t="inlineStr">
        <is>
          <t>ANDRE LUIZ FERREIRA</t>
        </is>
      </c>
      <c r="D16" s="87" t="inlineStr">
        <is>
          <t>Azul</t>
        </is>
      </c>
      <c r="E16" s="87" t="inlineStr">
        <is>
          <t>Enzo</t>
        </is>
      </c>
      <c r="G16" s="87" t="inlineStr">
        <is>
          <t>Assinado</t>
        </is>
      </c>
    </row>
    <row r="17">
      <c r="A17" s="14" t="n">
        <v>46056</v>
      </c>
      <c r="B17" s="14" t="n">
        <v>46092</v>
      </c>
      <c r="C17" s="87" t="inlineStr">
        <is>
          <t>ANDRE LUIZ FERREIRA</t>
        </is>
      </c>
      <c r="D17" s="87" t="inlineStr">
        <is>
          <t>Suhai</t>
        </is>
      </c>
      <c r="E17" s="87" t="inlineStr">
        <is>
          <t>Enzo</t>
        </is>
      </c>
      <c r="G17" s="87" t="inlineStr">
        <is>
          <t>Assinado</t>
        </is>
      </c>
    </row>
    <row r="18">
      <c r="A18" s="14" t="n">
        <v>46056</v>
      </c>
      <c r="B18" s="14" t="n">
        <v>46092</v>
      </c>
      <c r="C18" s="87" t="inlineStr">
        <is>
          <t>RAQUEL DIAS DE ARAUJO</t>
        </is>
      </c>
      <c r="D18" s="87" t="inlineStr">
        <is>
          <t>Suhai</t>
        </is>
      </c>
      <c r="E18" s="87" t="inlineStr">
        <is>
          <t>Enzo</t>
        </is>
      </c>
      <c r="G18" s="87" t="inlineStr">
        <is>
          <t>Assinado</t>
        </is>
      </c>
    </row>
    <row r="19">
      <c r="A19" s="14" t="n">
        <v>46057</v>
      </c>
      <c r="B19" s="14" t="n">
        <v>46065</v>
      </c>
      <c r="C19" s="87" t="inlineStr">
        <is>
          <t>CESAR SALVINO DO NASCIMENTO</t>
        </is>
      </c>
      <c r="D19" s="87" t="inlineStr">
        <is>
          <t>Suhai</t>
        </is>
      </c>
      <c r="E19" s="87" t="inlineStr">
        <is>
          <t>John</t>
        </is>
      </c>
      <c r="G19" s="87" t="inlineStr">
        <is>
          <t>Assinado</t>
        </is>
      </c>
    </row>
    <row r="20">
      <c r="A20" s="14" t="n">
        <v>46057</v>
      </c>
      <c r="B20" s="14" t="n">
        <v>46065</v>
      </c>
      <c r="C20" s="7" t="inlineStr">
        <is>
          <t>ARLINDA VENANCIO DE MELO</t>
        </is>
      </c>
      <c r="D20" s="87" t="inlineStr">
        <is>
          <t>Tokio</t>
        </is>
      </c>
      <c r="E20" s="87" t="inlineStr">
        <is>
          <t>John</t>
        </is>
      </c>
      <c r="G20" s="87" t="inlineStr">
        <is>
          <t>Consultor em contato</t>
        </is>
      </c>
    </row>
    <row r="21">
      <c r="A21" s="14" t="n">
        <v>46057</v>
      </c>
      <c r="B21" s="14" t="n">
        <v>46065</v>
      </c>
      <c r="C21" s="87" t="inlineStr">
        <is>
          <t>MARGOS EDUARDO GIMENES PENESSOR</t>
        </is>
      </c>
      <c r="D21" s="87" t="inlineStr">
        <is>
          <t>Porto</t>
        </is>
      </c>
      <c r="E21" s="87" t="inlineStr">
        <is>
          <t>Leticia</t>
        </is>
      </c>
      <c r="F21" s="87" t="n"/>
      <c r="G21" s="87" t="inlineStr">
        <is>
          <t>Assinado</t>
        </is>
      </c>
    </row>
    <row r="22">
      <c r="A22" s="14" t="n">
        <v>46057</v>
      </c>
      <c r="B22" s="14" t="n">
        <v>46065</v>
      </c>
      <c r="C22" s="87" t="inlineStr">
        <is>
          <t>GILMAR PEREIRA DA SILVA</t>
        </is>
      </c>
      <c r="D22" s="87" t="inlineStr">
        <is>
          <t>Azul</t>
        </is>
      </c>
      <c r="E22" s="87" t="inlineStr">
        <is>
          <t>Leticia</t>
        </is>
      </c>
      <c r="F22" s="87" t="n"/>
      <c r="G22" s="87" t="inlineStr">
        <is>
          <t>Assinado</t>
        </is>
      </c>
    </row>
    <row r="23">
      <c r="A23" s="14" t="n">
        <v>46057</v>
      </c>
      <c r="B23" s="14" t="n">
        <v>46065</v>
      </c>
      <c r="C23" s="87" t="inlineStr">
        <is>
          <t>ALEX GOMES DE LIMA</t>
        </is>
      </c>
      <c r="D23" s="87" t="inlineStr">
        <is>
          <t>Suhai</t>
        </is>
      </c>
      <c r="E23" s="87" t="inlineStr">
        <is>
          <t>Jacqueline</t>
        </is>
      </c>
      <c r="F23" s="87" t="n"/>
      <c r="G23" s="87" t="inlineStr">
        <is>
          <t>Consultor em contato</t>
        </is>
      </c>
      <c r="I23" s="14" t="n">
        <v>46079</v>
      </c>
      <c r="J23" s="14" t="n">
        <v>46059</v>
      </c>
      <c r="K23" s="14" t="n">
        <v>46090</v>
      </c>
    </row>
    <row r="24">
      <c r="A24" s="14" t="n">
        <v>46057</v>
      </c>
      <c r="B24" s="14" t="n">
        <v>46065</v>
      </c>
      <c r="C24" s="87" t="inlineStr">
        <is>
          <t>LUIS ANTONIO MACHADO</t>
        </is>
      </c>
      <c r="D24" s="87" t="inlineStr">
        <is>
          <t>Azul</t>
        </is>
      </c>
      <c r="E24" s="87" t="inlineStr">
        <is>
          <t>Isabella</t>
        </is>
      </c>
      <c r="F24" s="87" t="n"/>
      <c r="G24" s="87" t="inlineStr">
        <is>
          <t>Assinado</t>
        </is>
      </c>
    </row>
    <row r="25">
      <c r="A25" s="14" t="n">
        <v>46057</v>
      </c>
      <c r="B25" s="14" t="n">
        <v>46065</v>
      </c>
      <c r="C25" s="87" t="inlineStr">
        <is>
          <t>PEDRO HENRIQUE SILVA ALVES</t>
        </is>
      </c>
      <c r="D25" s="87" t="inlineStr">
        <is>
          <t>Tokio</t>
        </is>
      </c>
      <c r="E25" s="87" t="inlineStr">
        <is>
          <t>Isabella</t>
        </is>
      </c>
      <c r="F25" s="87" t="n"/>
      <c r="G25" s="87" t="inlineStr">
        <is>
          <t>Assinado</t>
        </is>
      </c>
    </row>
    <row r="26">
      <c r="A26" s="14" t="n">
        <v>46057</v>
      </c>
      <c r="B26" s="14" t="n">
        <v>46065</v>
      </c>
      <c r="C26" s="87" t="inlineStr">
        <is>
          <t>VALDIR CORREA</t>
        </is>
      </c>
      <c r="D26" s="87" t="inlineStr">
        <is>
          <t>Azul</t>
        </is>
      </c>
      <c r="E26" s="87" t="inlineStr">
        <is>
          <t>Valéria</t>
        </is>
      </c>
      <c r="F26" s="87" t="n"/>
      <c r="G26" s="87" t="inlineStr">
        <is>
          <t>Assinado</t>
        </is>
      </c>
    </row>
    <row r="27">
      <c r="A27" s="14" t="n">
        <v>46057</v>
      </c>
      <c r="B27" s="14" t="n">
        <v>46065</v>
      </c>
      <c r="C27" s="87" t="inlineStr">
        <is>
          <t>RICARDO SEVERINO REIS</t>
        </is>
      </c>
      <c r="D27" s="87" t="inlineStr">
        <is>
          <t>Azul</t>
        </is>
      </c>
      <c r="E27" s="87" t="inlineStr">
        <is>
          <t>Jacqueline</t>
        </is>
      </c>
      <c r="F27" s="87" t="n"/>
      <c r="G27" s="87" t="inlineStr">
        <is>
          <t>Assinado</t>
        </is>
      </c>
    </row>
    <row r="28">
      <c r="A28" s="14" t="n">
        <v>46058</v>
      </c>
      <c r="B28" s="14" t="n">
        <v>46066</v>
      </c>
      <c r="C28" s="87" t="inlineStr">
        <is>
          <t>THAMIRES RODRIGUES DE BARROS</t>
        </is>
      </c>
      <c r="D28" s="87" t="inlineStr">
        <is>
          <t>Tokio</t>
        </is>
      </c>
      <c r="E28" s="87" t="inlineStr">
        <is>
          <t>John</t>
        </is>
      </c>
      <c r="F28" s="87" t="n"/>
      <c r="G28" s="87" t="inlineStr">
        <is>
          <t>Assinado</t>
        </is>
      </c>
    </row>
    <row r="29">
      <c r="A29" s="14" t="n">
        <v>46058</v>
      </c>
      <c r="B29" s="14" t="n">
        <v>46066</v>
      </c>
      <c r="C29" s="87" t="inlineStr">
        <is>
          <t>LEANDRO APARECIDO PORTES FAGUNDES</t>
        </is>
      </c>
      <c r="D29" s="87" t="inlineStr">
        <is>
          <t>Azul</t>
        </is>
      </c>
      <c r="E29" s="87" t="inlineStr">
        <is>
          <t>Enzo</t>
        </is>
      </c>
      <c r="F29" s="87" t="n"/>
      <c r="G29" s="87" t="inlineStr">
        <is>
          <t>Cancelado</t>
        </is>
      </c>
      <c r="I29" s="14" t="n">
        <v>46079</v>
      </c>
      <c r="J29" s="14" t="n">
        <v>46059</v>
      </c>
      <c r="K29" s="14" t="n">
        <v>46090</v>
      </c>
    </row>
    <row r="30">
      <c r="A30" s="14" t="n">
        <v>46058</v>
      </c>
      <c r="B30" s="14" t="n">
        <v>46066</v>
      </c>
      <c r="C30" s="87" t="inlineStr">
        <is>
          <t>LEANDRO APARECIDO PORTES FAGUNDES</t>
        </is>
      </c>
      <c r="D30" s="87" t="inlineStr">
        <is>
          <t>Azul</t>
        </is>
      </c>
      <c r="E30" s="87" t="inlineStr">
        <is>
          <t>Enzo</t>
        </is>
      </c>
      <c r="F30" s="87" t="n"/>
      <c r="G30" s="87" t="inlineStr">
        <is>
          <t>Cancelado</t>
        </is>
      </c>
      <c r="I30" s="14" t="n">
        <v>46079</v>
      </c>
      <c r="J30" s="14" t="n">
        <v>46059</v>
      </c>
      <c r="K30" s="14" t="n">
        <v>46090</v>
      </c>
    </row>
    <row r="31">
      <c r="A31" s="14" t="n">
        <v>46058</v>
      </c>
      <c r="B31" s="14" t="n">
        <v>46066</v>
      </c>
      <c r="C31" s="87" t="inlineStr">
        <is>
          <t>FRANCISCO IJAIRE PEREIRA</t>
        </is>
      </c>
      <c r="D31" s="87" t="inlineStr">
        <is>
          <t>Azul</t>
        </is>
      </c>
      <c r="E31" s="87" t="inlineStr">
        <is>
          <t>Leticia</t>
        </is>
      </c>
      <c r="F31" s="87" t="n"/>
      <c r="G31" s="87" t="inlineStr">
        <is>
          <t>Assinado</t>
        </is>
      </c>
    </row>
    <row r="32">
      <c r="A32" s="14" t="n">
        <v>46058</v>
      </c>
      <c r="B32" s="14" t="n">
        <v>46066</v>
      </c>
      <c r="C32" s="87" t="inlineStr">
        <is>
          <t>LUIZ DE OLIVEIRA SILVA</t>
        </is>
      </c>
      <c r="D32" s="87" t="inlineStr">
        <is>
          <t>Tokio</t>
        </is>
      </c>
      <c r="E32" s="87" t="inlineStr">
        <is>
          <t>Isabella</t>
        </is>
      </c>
      <c r="F32" s="87" t="n"/>
      <c r="G32" s="87" t="inlineStr">
        <is>
          <t>Assinado</t>
        </is>
      </c>
    </row>
    <row r="33">
      <c r="A33" s="14" t="n">
        <v>46059</v>
      </c>
      <c r="B33" s="14" t="n">
        <v>46067</v>
      </c>
      <c r="C33" s="87" t="inlineStr">
        <is>
          <t>CARLOS AFONSO DE ALMEIDA</t>
        </is>
      </c>
      <c r="D33" s="87" t="inlineStr">
        <is>
          <t>Azul</t>
        </is>
      </c>
      <c r="E33" s="87" t="inlineStr">
        <is>
          <t>Enzo</t>
        </is>
      </c>
      <c r="F33" s="87" t="n"/>
      <c r="G33" s="87" t="inlineStr">
        <is>
          <t>Cancelado</t>
        </is>
      </c>
      <c r="I33" s="14" t="n">
        <v>46079</v>
      </c>
      <c r="J33" s="14" t="n">
        <v>46059</v>
      </c>
      <c r="K33" s="14" t="n">
        <v>46090</v>
      </c>
    </row>
    <row r="34">
      <c r="A34" s="14" t="n">
        <v>46059</v>
      </c>
      <c r="B34" s="14" t="n">
        <v>46067</v>
      </c>
      <c r="C34" s="87" t="inlineStr">
        <is>
          <t>THAYNA CAMARGO DE OLIVEIRA</t>
        </is>
      </c>
      <c r="D34" s="87" t="inlineStr">
        <is>
          <t>Azul</t>
        </is>
      </c>
      <c r="E34" s="87" t="inlineStr">
        <is>
          <t>Enzo</t>
        </is>
      </c>
      <c r="F34" s="87" t="n"/>
      <c r="G34" s="87" t="inlineStr">
        <is>
          <t>Assinado</t>
        </is>
      </c>
    </row>
    <row r="35">
      <c r="A35" s="14" t="n">
        <v>46059</v>
      </c>
      <c r="B35" s="14" t="n">
        <v>46067</v>
      </c>
      <c r="C35" s="87" t="inlineStr">
        <is>
          <t>LUCIANO DA SILVA FURTADO</t>
        </is>
      </c>
      <c r="D35" s="87" t="inlineStr">
        <is>
          <t>HDI</t>
        </is>
      </c>
      <c r="E35" s="87" t="inlineStr">
        <is>
          <t>Leticia</t>
        </is>
      </c>
      <c r="F35" s="87" t="n"/>
      <c r="G35" s="87" t="inlineStr">
        <is>
          <t>Assinado</t>
        </is>
      </c>
    </row>
    <row r="36">
      <c r="A36" s="14" t="n">
        <v>46059</v>
      </c>
      <c r="B36" s="14" t="n">
        <v>46067</v>
      </c>
      <c r="C36" s="87" t="inlineStr">
        <is>
          <t>HIGOR ROGERIO DA SILVA</t>
        </is>
      </c>
      <c r="D36" s="87" t="inlineStr">
        <is>
          <t>Mapfre</t>
        </is>
      </c>
      <c r="E36" s="87" t="inlineStr">
        <is>
          <t>Leticia</t>
        </is>
      </c>
      <c r="F36" s="87" t="n"/>
      <c r="G36" s="87" t="inlineStr">
        <is>
          <t>Assinado</t>
        </is>
      </c>
    </row>
    <row r="37">
      <c r="A37" s="14" t="n">
        <v>46059</v>
      </c>
      <c r="B37" s="14" t="n">
        <v>46067</v>
      </c>
      <c r="C37" s="87" t="inlineStr">
        <is>
          <t>JOSE CARLOS DE ANDRADE</t>
        </is>
      </c>
      <c r="D37" s="87" t="inlineStr">
        <is>
          <t>Azul</t>
        </is>
      </c>
      <c r="E37" s="87" t="inlineStr">
        <is>
          <t>John</t>
        </is>
      </c>
      <c r="F37" s="87" t="n"/>
      <c r="G37" s="87" t="inlineStr">
        <is>
          <t>Cancelado</t>
        </is>
      </c>
      <c r="I37" s="14" t="n">
        <v>46080</v>
      </c>
      <c r="J37" s="14" t="n">
        <v>46060</v>
      </c>
      <c r="K37" s="14" t="n">
        <v>46091</v>
      </c>
    </row>
    <row r="38">
      <c r="A38" s="14" t="n">
        <v>46059</v>
      </c>
      <c r="B38" s="14" t="n">
        <v>46067</v>
      </c>
      <c r="C38" s="87" t="inlineStr">
        <is>
          <t>CAIQUE SPEZZANO DA SILVA</t>
        </is>
      </c>
      <c r="D38" s="87" t="inlineStr">
        <is>
          <t>Suhai</t>
        </is>
      </c>
      <c r="E38" s="87" t="inlineStr">
        <is>
          <t>John</t>
        </is>
      </c>
      <c r="F38" s="87" t="n"/>
      <c r="G38" s="87" t="inlineStr">
        <is>
          <t>Assinado</t>
        </is>
      </c>
    </row>
    <row r="39">
      <c r="A39" s="14" t="n">
        <v>46059</v>
      </c>
      <c r="B39" s="14" t="n">
        <v>46067</v>
      </c>
      <c r="C39" s="87" t="inlineStr">
        <is>
          <t>CLECIA CABRAL DOS SANTOS</t>
        </is>
      </c>
      <c r="D39" s="87" t="inlineStr">
        <is>
          <t>Suhai</t>
        </is>
      </c>
      <c r="E39" s="87" t="inlineStr">
        <is>
          <t>John</t>
        </is>
      </c>
      <c r="F39" s="87" t="n"/>
      <c r="G39" s="87" t="inlineStr">
        <is>
          <t>Cancelado</t>
        </is>
      </c>
      <c r="I39" s="14" t="n">
        <v>46079</v>
      </c>
      <c r="J39" s="14" t="n">
        <v>46059</v>
      </c>
      <c r="K39" s="14" t="n">
        <v>46090</v>
      </c>
    </row>
    <row r="40">
      <c r="A40" s="14" t="n">
        <v>46059</v>
      </c>
      <c r="B40" s="14" t="n">
        <v>46067</v>
      </c>
      <c r="C40" s="87" t="inlineStr">
        <is>
          <t>NATHAN PETRIN SOUSA DA SILVA</t>
        </is>
      </c>
      <c r="D40" s="87" t="inlineStr">
        <is>
          <t>Suhai</t>
        </is>
      </c>
      <c r="E40" s="87" t="inlineStr">
        <is>
          <t>Isabella</t>
        </is>
      </c>
      <c r="F40" s="87" t="n"/>
      <c r="G40" s="87" t="inlineStr">
        <is>
          <t>Assinado</t>
        </is>
      </c>
    </row>
    <row r="41">
      <c r="A41" s="14" t="n">
        <v>46059</v>
      </c>
      <c r="B41" s="14" t="n">
        <v>46067</v>
      </c>
      <c r="C41" s="87" t="inlineStr">
        <is>
          <t>MOACIR CARLOS OLIVEIRA MOURA</t>
        </is>
      </c>
      <c r="D41" s="87" t="inlineStr">
        <is>
          <t>Azul</t>
        </is>
      </c>
      <c r="E41" s="87" t="inlineStr">
        <is>
          <t>Isabella</t>
        </is>
      </c>
      <c r="F41" s="87" t="n"/>
      <c r="G41" s="87" t="inlineStr">
        <is>
          <t>Assinado</t>
        </is>
      </c>
    </row>
    <row r="42">
      <c r="A42" s="14" t="n">
        <v>46059</v>
      </c>
      <c r="B42" s="14" t="n">
        <v>46067</v>
      </c>
      <c r="C42" s="87" t="inlineStr">
        <is>
          <t>CRISTIANO DIAS BIANCHI</t>
        </is>
      </c>
      <c r="D42" s="87" t="inlineStr">
        <is>
          <t>Azul</t>
        </is>
      </c>
      <c r="E42" s="87" t="inlineStr">
        <is>
          <t>Leticia</t>
        </is>
      </c>
      <c r="F42" s="87" t="n"/>
      <c r="G42" s="87" t="inlineStr">
        <is>
          <t>Assinado</t>
        </is>
      </c>
    </row>
    <row r="43">
      <c r="A43" s="14" t="n">
        <v>46059</v>
      </c>
      <c r="B43" s="14" t="n">
        <v>46067</v>
      </c>
      <c r="C43" s="87" t="inlineStr">
        <is>
          <t>ALESSANDRO GORI DE ALMEIDA</t>
        </is>
      </c>
      <c r="D43" s="87" t="inlineStr">
        <is>
          <t>Porto</t>
        </is>
      </c>
      <c r="E43" s="87" t="inlineStr">
        <is>
          <t>Leticia</t>
        </is>
      </c>
      <c r="F43" s="87" t="n"/>
      <c r="G43" s="87" t="inlineStr">
        <is>
          <t>Assinado</t>
        </is>
      </c>
    </row>
    <row r="44">
      <c r="A44" s="14" t="n">
        <v>46059</v>
      </c>
      <c r="B44" s="14" t="n">
        <v>46067</v>
      </c>
      <c r="C44" s="87" t="inlineStr">
        <is>
          <t>ROMILSON DOS SANTOS COSTA</t>
        </is>
      </c>
      <c r="D44" s="87" t="inlineStr">
        <is>
          <t>Azul</t>
        </is>
      </c>
      <c r="E44" s="87" t="inlineStr">
        <is>
          <t>Leticia</t>
        </is>
      </c>
      <c r="F44" s="87" t="n"/>
      <c r="G44" s="87" t="inlineStr">
        <is>
          <t>Assinado</t>
        </is>
      </c>
    </row>
    <row r="45">
      <c r="A45" s="14" t="n">
        <v>46059</v>
      </c>
      <c r="B45" s="14" t="n">
        <v>46067</v>
      </c>
      <c r="C45" s="87" t="inlineStr">
        <is>
          <t>NICOLLE LUCIA DE LIMA BASSETTO</t>
        </is>
      </c>
      <c r="D45" s="87" t="inlineStr">
        <is>
          <t>Aliro</t>
        </is>
      </c>
      <c r="E45" s="87" t="inlineStr">
        <is>
          <t>John</t>
        </is>
      </c>
      <c r="F45" s="87" t="n"/>
      <c r="G45" s="87" t="inlineStr">
        <is>
          <t>Assinado</t>
        </is>
      </c>
    </row>
    <row r="46">
      <c r="A46" s="14" t="n">
        <v>46059</v>
      </c>
      <c r="B46" s="14" t="n">
        <v>46067</v>
      </c>
      <c r="C46" s="87" t="inlineStr">
        <is>
          <t>JOSE GERALDO DA SILVA</t>
        </is>
      </c>
      <c r="D46" s="87" t="inlineStr">
        <is>
          <t>Tokio</t>
        </is>
      </c>
      <c r="E46" s="87" t="inlineStr">
        <is>
          <t>John</t>
        </is>
      </c>
      <c r="F46" s="87" t="n"/>
      <c r="G46" s="87" t="inlineStr">
        <is>
          <t>Assinado</t>
        </is>
      </c>
    </row>
    <row r="47">
      <c r="A47" s="14" t="n">
        <v>46062</v>
      </c>
      <c r="B47" s="14" t="n">
        <v>46070</v>
      </c>
      <c r="C47" s="87" t="inlineStr">
        <is>
          <t>RENATO MELGARES DE MELO</t>
        </is>
      </c>
      <c r="D47" s="87" t="inlineStr">
        <is>
          <t>Mapfre</t>
        </is>
      </c>
      <c r="E47" s="87" t="inlineStr">
        <is>
          <t>Enzo</t>
        </is>
      </c>
      <c r="F47" s="87" t="n"/>
      <c r="G47" s="87" t="inlineStr">
        <is>
          <t>Assinado</t>
        </is>
      </c>
    </row>
    <row r="48">
      <c r="A48" s="14" t="n">
        <v>46062</v>
      </c>
      <c r="B48" s="14" t="n">
        <v>46070</v>
      </c>
      <c r="C48" s="87" t="inlineStr">
        <is>
          <t>DANIELA GOECKS RIBEIRO DE MEDEIROS</t>
        </is>
      </c>
      <c r="D48" s="87" t="inlineStr">
        <is>
          <t>Azul</t>
        </is>
      </c>
      <c r="E48" s="87" t="inlineStr">
        <is>
          <t>Enzo</t>
        </is>
      </c>
      <c r="F48" s="87" t="n"/>
      <c r="G48" s="87" t="inlineStr">
        <is>
          <t>Assinado</t>
        </is>
      </c>
    </row>
    <row r="49">
      <c r="A49" s="14" t="n">
        <v>46062</v>
      </c>
      <c r="B49" s="14" t="n">
        <v>46070</v>
      </c>
      <c r="C49" s="87" t="inlineStr">
        <is>
          <t>GLAUCIANE REGINA DE OLIVEIRA</t>
        </is>
      </c>
      <c r="D49" s="87" t="inlineStr">
        <is>
          <t>Tokio</t>
        </is>
      </c>
      <c r="E49" s="87" t="inlineStr">
        <is>
          <t>Enzo</t>
        </is>
      </c>
      <c r="F49" s="87" t="n"/>
      <c r="G49" s="87" t="inlineStr">
        <is>
          <t>Assinado</t>
        </is>
      </c>
    </row>
    <row r="50">
      <c r="A50" s="14" t="n">
        <v>46062</v>
      </c>
      <c r="B50" s="14" t="n">
        <v>46070</v>
      </c>
      <c r="C50" s="87" t="inlineStr">
        <is>
          <t>ADILTON SILVA SOUZA</t>
        </is>
      </c>
      <c r="D50" s="87" t="inlineStr">
        <is>
          <t>Azul</t>
        </is>
      </c>
      <c r="E50" s="87" t="inlineStr">
        <is>
          <t>Enzo</t>
        </is>
      </c>
      <c r="F50" s="87" t="n"/>
      <c r="G50" s="87" t="inlineStr">
        <is>
          <t>Assinado</t>
        </is>
      </c>
    </row>
    <row r="51">
      <c r="A51" s="14" t="n">
        <v>46062</v>
      </c>
      <c r="B51" s="14" t="n">
        <v>46070</v>
      </c>
      <c r="C51" s="87" t="inlineStr">
        <is>
          <t>ANGELO DIVINO MARTINS DE OLIVEIRA</t>
        </is>
      </c>
      <c r="D51" s="87" t="inlineStr">
        <is>
          <t>Suhai</t>
        </is>
      </c>
      <c r="E51" s="87" t="inlineStr">
        <is>
          <t>John</t>
        </is>
      </c>
      <c r="F51" s="87" t="n"/>
      <c r="G51" s="87" t="inlineStr">
        <is>
          <t>Assinado</t>
        </is>
      </c>
    </row>
    <row r="52">
      <c r="A52" s="14" t="n">
        <v>46062</v>
      </c>
      <c r="B52" s="14" t="n">
        <v>46070</v>
      </c>
      <c r="C52" s="87" t="inlineStr">
        <is>
          <t>VALDIR BARBOSA FREITAS</t>
        </is>
      </c>
      <c r="D52" s="87" t="inlineStr">
        <is>
          <t>Tokio</t>
        </is>
      </c>
      <c r="E52" s="87" t="inlineStr">
        <is>
          <t>John</t>
        </is>
      </c>
      <c r="F52" s="87" t="n"/>
      <c r="G52" s="87" t="inlineStr">
        <is>
          <t>Cancelado</t>
        </is>
      </c>
      <c r="I52" s="14" t="n">
        <v>46080</v>
      </c>
      <c r="J52" s="14" t="n">
        <v>46060</v>
      </c>
      <c r="K52" s="14" t="n">
        <v>46091</v>
      </c>
    </row>
    <row r="53">
      <c r="A53" s="14" t="n">
        <v>46062</v>
      </c>
      <c r="B53" s="14" t="n">
        <v>46070</v>
      </c>
      <c r="C53" s="87" t="inlineStr">
        <is>
          <t>ROBSON GOMES BARBOSA</t>
        </is>
      </c>
      <c r="D53" s="87" t="inlineStr">
        <is>
          <t>Suhai</t>
        </is>
      </c>
      <c r="E53" s="87" t="inlineStr">
        <is>
          <t>Leticia</t>
        </is>
      </c>
      <c r="F53" s="87" t="n"/>
      <c r="G53" s="87" t="inlineStr">
        <is>
          <t>Assinado</t>
        </is>
      </c>
    </row>
    <row r="54">
      <c r="A54" s="14" t="n">
        <v>46062</v>
      </c>
      <c r="B54" s="14" t="n">
        <v>46070</v>
      </c>
      <c r="C54" s="87" t="inlineStr">
        <is>
          <t>CRISTOVAO LEANDRO XAVIER SOUZA</t>
        </is>
      </c>
      <c r="D54" s="87" t="inlineStr">
        <is>
          <t>Tokio</t>
        </is>
      </c>
      <c r="E54" s="87" t="inlineStr">
        <is>
          <t>Leticia</t>
        </is>
      </c>
      <c r="F54" s="87" t="n"/>
      <c r="G54" s="87" t="inlineStr">
        <is>
          <t>Assinado</t>
        </is>
      </c>
    </row>
    <row r="55">
      <c r="A55" s="14" t="n">
        <v>46063</v>
      </c>
      <c r="B55" s="14" t="n">
        <v>46071</v>
      </c>
      <c r="C55" s="87" t="inlineStr">
        <is>
          <t>MATHEUS NASCIMENTO DA SILVA</t>
        </is>
      </c>
      <c r="D55" s="87" t="inlineStr">
        <is>
          <t>Suhai</t>
        </is>
      </c>
      <c r="E55" s="87" t="inlineStr">
        <is>
          <t>John</t>
        </is>
      </c>
      <c r="F55" s="87" t="n"/>
      <c r="G55" s="87" t="inlineStr">
        <is>
          <t>Assinado</t>
        </is>
      </c>
    </row>
    <row r="56">
      <c r="A56" s="14" t="n">
        <v>46063</v>
      </c>
      <c r="B56" s="14" t="n">
        <v>46071</v>
      </c>
      <c r="C56" s="87" t="inlineStr">
        <is>
          <t>RAQUEL DE OLIVEIRA BLOCH MARINS</t>
        </is>
      </c>
      <c r="D56" s="87" t="inlineStr">
        <is>
          <t>Suhai</t>
        </is>
      </c>
      <c r="E56" s="87" t="inlineStr">
        <is>
          <t>Myrelle</t>
        </is>
      </c>
      <c r="F56" s="87" t="n"/>
      <c r="G56" s="87" t="inlineStr">
        <is>
          <t>Assinado</t>
        </is>
      </c>
    </row>
    <row r="57">
      <c r="A57" s="14" t="n">
        <v>46063</v>
      </c>
      <c r="B57" s="14" t="n">
        <v>46071</v>
      </c>
      <c r="C57" s="87" t="inlineStr">
        <is>
          <t>REGIS ALEXANDRE MIRANDA PEREIRA</t>
        </is>
      </c>
      <c r="D57" s="87" t="inlineStr">
        <is>
          <t>Suhai</t>
        </is>
      </c>
      <c r="E57" s="87" t="inlineStr">
        <is>
          <t>Leticia</t>
        </is>
      </c>
      <c r="F57" s="87" t="inlineStr">
        <is>
          <t>Novo</t>
        </is>
      </c>
      <c r="G57" s="87" t="inlineStr">
        <is>
          <t>Consultor em contato</t>
        </is>
      </c>
      <c r="I57" s="14" t="n">
        <v>46079</v>
      </c>
      <c r="J57" s="14" t="n">
        <v>46059</v>
      </c>
      <c r="K57" s="14" t="n">
        <v>46090</v>
      </c>
    </row>
    <row r="58">
      <c r="A58" s="14" t="n">
        <v>46063</v>
      </c>
      <c r="B58" s="14" t="n">
        <v>46071</v>
      </c>
      <c r="C58" s="87" t="inlineStr">
        <is>
          <t>JOELSON RODRIGUES DE SOUZA</t>
        </is>
      </c>
      <c r="D58" s="87" t="inlineStr">
        <is>
          <t>Azul</t>
        </is>
      </c>
      <c r="E58" s="87" t="inlineStr">
        <is>
          <t>Jacqueline</t>
        </is>
      </c>
      <c r="F58" s="87" t="n"/>
      <c r="G58" s="87" t="inlineStr">
        <is>
          <t>Assinado</t>
        </is>
      </c>
    </row>
    <row r="59">
      <c r="A59" s="14" t="n">
        <v>46063</v>
      </c>
      <c r="B59" s="14" t="n">
        <v>46071</v>
      </c>
      <c r="C59" s="87" t="inlineStr">
        <is>
          <t>ANDERSON DOS SANTOS SILVA</t>
        </is>
      </c>
      <c r="D59" s="87" t="inlineStr">
        <is>
          <t>Tokio</t>
        </is>
      </c>
      <c r="E59" s="87" t="inlineStr">
        <is>
          <t>Jacqueline</t>
        </is>
      </c>
      <c r="F59" s="87" t="n"/>
      <c r="G59" s="87" t="inlineStr">
        <is>
          <t>Assinado</t>
        </is>
      </c>
    </row>
    <row r="60">
      <c r="A60" s="14" t="n">
        <v>46063</v>
      </c>
      <c r="B60" s="14" t="n">
        <v>46071</v>
      </c>
      <c r="C60" s="87" t="inlineStr">
        <is>
          <t>ANDERSON DOS SANTOS SILVA</t>
        </is>
      </c>
      <c r="D60" s="87" t="inlineStr">
        <is>
          <t>Suhai</t>
        </is>
      </c>
      <c r="E60" s="87" t="inlineStr">
        <is>
          <t>Jacqueline</t>
        </is>
      </c>
      <c r="F60" s="87" t="n"/>
      <c r="G60" s="87" t="inlineStr">
        <is>
          <t>Assinado</t>
        </is>
      </c>
    </row>
    <row r="61">
      <c r="A61" s="14" t="n">
        <v>46063</v>
      </c>
      <c r="B61" s="14" t="n">
        <v>46071</v>
      </c>
      <c r="C61" s="87" t="inlineStr">
        <is>
          <t>DANIEL DONIZETE ALVES DE OLIVEIRA</t>
        </is>
      </c>
      <c r="D61" s="87" t="inlineStr">
        <is>
          <t>Itaú</t>
        </is>
      </c>
      <c r="E61" s="87" t="inlineStr">
        <is>
          <t>Jacqueline</t>
        </is>
      </c>
      <c r="F61" s="87" t="n"/>
      <c r="G61" s="87" t="inlineStr">
        <is>
          <t>Assinado</t>
        </is>
      </c>
    </row>
    <row r="62">
      <c r="A62" s="14" t="n">
        <v>46063</v>
      </c>
      <c r="B62" s="14" t="n">
        <v>46071</v>
      </c>
      <c r="C62" s="87" t="inlineStr">
        <is>
          <t>MARIA CRISTINA SANHO</t>
        </is>
      </c>
      <c r="D62" s="87" t="inlineStr">
        <is>
          <t>Tokio</t>
        </is>
      </c>
      <c r="E62" s="87" t="inlineStr">
        <is>
          <t>Jacqueline</t>
        </is>
      </c>
      <c r="F62" s="87" t="n"/>
      <c r="G62" s="87" t="inlineStr">
        <is>
          <t>Assinado(manual)</t>
        </is>
      </c>
    </row>
    <row r="63">
      <c r="A63" s="14" t="n">
        <v>46063</v>
      </c>
      <c r="B63" s="14" t="n">
        <v>46071</v>
      </c>
      <c r="C63" s="87" t="inlineStr">
        <is>
          <t>FERNANDA SILVA DE OLIVEIRA</t>
        </is>
      </c>
      <c r="D63" s="87" t="inlineStr">
        <is>
          <t>Porto</t>
        </is>
      </c>
      <c r="E63" s="87" t="inlineStr">
        <is>
          <t>John</t>
        </is>
      </c>
      <c r="F63" s="87" t="inlineStr">
        <is>
          <t>Renovação</t>
        </is>
      </c>
      <c r="G63" s="87" t="inlineStr">
        <is>
          <t>Consultor em contato</t>
        </is>
      </c>
      <c r="I63" s="14" t="n">
        <v>46080</v>
      </c>
      <c r="J63" s="14" t="n">
        <v>46060</v>
      </c>
      <c r="K63" s="14" t="n">
        <v>46091</v>
      </c>
    </row>
    <row r="64">
      <c r="A64" s="14" t="n">
        <v>46063</v>
      </c>
      <c r="B64" s="14" t="n">
        <v>46071</v>
      </c>
      <c r="C64" s="87" t="inlineStr">
        <is>
          <t>JOSE EUCLIDES CAMILO</t>
        </is>
      </c>
      <c r="D64" s="87" t="inlineStr">
        <is>
          <t>Allianz</t>
        </is>
      </c>
      <c r="E64" s="87" t="inlineStr">
        <is>
          <t>Isabella</t>
        </is>
      </c>
      <c r="F64" s="87" t="n"/>
      <c r="G64" s="87" t="inlineStr">
        <is>
          <t>Assinado</t>
        </is>
      </c>
    </row>
    <row r="65">
      <c r="A65" s="14" t="n">
        <v>46063</v>
      </c>
      <c r="B65" s="14" t="n">
        <v>46071</v>
      </c>
      <c r="C65" s="87" t="inlineStr">
        <is>
          <t>MARCOS CAMARGO DE SOUZA</t>
        </is>
      </c>
      <c r="D65" s="87" t="inlineStr">
        <is>
          <t>Tokio</t>
        </is>
      </c>
      <c r="E65" s="87" t="inlineStr">
        <is>
          <t>Isabella</t>
        </is>
      </c>
      <c r="F65" s="87" t="n"/>
      <c r="G65" s="87" t="inlineStr">
        <is>
          <t>Assinado</t>
        </is>
      </c>
    </row>
    <row r="66">
      <c r="A66" s="14" t="n">
        <v>46063</v>
      </c>
      <c r="B66" s="14" t="n">
        <v>46071</v>
      </c>
      <c r="C66" s="87" t="inlineStr">
        <is>
          <t>ARTUR RAMOS PEREIRA</t>
        </is>
      </c>
      <c r="D66" s="87" t="inlineStr">
        <is>
          <t>Suhai</t>
        </is>
      </c>
      <c r="E66" s="87" t="inlineStr">
        <is>
          <t>Isabella</t>
        </is>
      </c>
      <c r="F66" s="87" t="n"/>
      <c r="G66" s="87" t="inlineStr">
        <is>
          <t>Assinado</t>
        </is>
      </c>
    </row>
    <row r="67">
      <c r="A67" s="14" t="n">
        <v>46063</v>
      </c>
      <c r="B67" s="14" t="n">
        <v>46071</v>
      </c>
      <c r="C67" s="87" t="inlineStr">
        <is>
          <t>GABRIEL RODRIGUES DA SILVA</t>
        </is>
      </c>
      <c r="D67" s="87" t="inlineStr">
        <is>
          <t>Tokio</t>
        </is>
      </c>
      <c r="E67" s="87" t="inlineStr">
        <is>
          <t>Isabella</t>
        </is>
      </c>
      <c r="F67" s="87" t="n"/>
      <c r="G67" s="87" t="inlineStr">
        <is>
          <t>Assinado</t>
        </is>
      </c>
    </row>
    <row r="68">
      <c r="A68" s="14" t="n">
        <v>46063</v>
      </c>
      <c r="B68" s="14" t="n">
        <v>46071</v>
      </c>
      <c r="C68" s="87" t="inlineStr">
        <is>
          <t>IGOR HENRIQUE DA ROCHA ARGOLO</t>
        </is>
      </c>
      <c r="D68" s="87" t="inlineStr">
        <is>
          <t>Azul</t>
        </is>
      </c>
      <c r="E68" s="87" t="inlineStr">
        <is>
          <t>John</t>
        </is>
      </c>
      <c r="F68" s="87" t="n"/>
      <c r="G68" s="87" t="inlineStr">
        <is>
          <t>Assinado</t>
        </is>
      </c>
    </row>
    <row r="69">
      <c r="A69" s="14" t="n">
        <v>46063</v>
      </c>
      <c r="B69" s="14" t="n">
        <v>46071</v>
      </c>
      <c r="C69" s="87" t="inlineStr">
        <is>
          <t>JOSE AILTON DA SILVA</t>
        </is>
      </c>
      <c r="D69" s="87" t="inlineStr">
        <is>
          <t>Tokio</t>
        </is>
      </c>
      <c r="E69" s="87" t="inlineStr">
        <is>
          <t>John</t>
        </is>
      </c>
      <c r="F69" s="87" t="n"/>
      <c r="G69" s="87" t="inlineStr">
        <is>
          <t>Assinado</t>
        </is>
      </c>
    </row>
    <row r="70">
      <c r="A70" s="14" t="n">
        <v>46063</v>
      </c>
      <c r="B70" s="14" t="n">
        <v>46071</v>
      </c>
      <c r="C70" s="87" t="inlineStr">
        <is>
          <t>JARDEL ITALO ALMEIDA RODRIGUES</t>
        </is>
      </c>
      <c r="D70" s="87" t="inlineStr">
        <is>
          <t>Azul</t>
        </is>
      </c>
      <c r="E70" s="87" t="inlineStr">
        <is>
          <t>John</t>
        </is>
      </c>
      <c r="F70" s="87" t="n"/>
      <c r="G70" s="87" t="inlineStr">
        <is>
          <t>Assinado</t>
        </is>
      </c>
    </row>
    <row r="71">
      <c r="A71" s="14" t="n">
        <v>46063</v>
      </c>
      <c r="B71" s="14" t="n">
        <v>46071</v>
      </c>
      <c r="C71" s="87" t="inlineStr">
        <is>
          <t>VINICIUS AQUILINO LOPES</t>
        </is>
      </c>
      <c r="D71" s="87" t="inlineStr">
        <is>
          <t>Azul</t>
        </is>
      </c>
      <c r="E71" s="87" t="inlineStr">
        <is>
          <t>Jéssica</t>
        </is>
      </c>
      <c r="F71" s="87" t="n"/>
      <c r="G71" s="87" t="inlineStr">
        <is>
          <t>Assinado</t>
        </is>
      </c>
    </row>
    <row r="72">
      <c r="A72" s="14" t="n">
        <v>46064</v>
      </c>
      <c r="B72" s="14" t="n">
        <v>46072</v>
      </c>
      <c r="C72" s="87" t="inlineStr">
        <is>
          <t>ADELINO DOS SANTOS NASCIMENTO</t>
        </is>
      </c>
      <c r="D72" s="87" t="inlineStr">
        <is>
          <t>Suhai</t>
        </is>
      </c>
      <c r="E72" s="87" t="inlineStr">
        <is>
          <t>Leticia</t>
        </is>
      </c>
      <c r="F72" s="87" t="inlineStr">
        <is>
          <t>Novo</t>
        </is>
      </c>
      <c r="G72" s="87" t="inlineStr">
        <is>
          <t>Consultor em contato</t>
        </is>
      </c>
      <c r="I72" s="14" t="n">
        <v>46080</v>
      </c>
      <c r="J72" s="14" t="n">
        <v>46060</v>
      </c>
      <c r="K72" s="14" t="n">
        <v>46091</v>
      </c>
    </row>
    <row r="73">
      <c r="A73" s="14" t="n">
        <v>46064</v>
      </c>
      <c r="B73" s="14" t="n">
        <v>46072</v>
      </c>
      <c r="C73" s="87" t="inlineStr">
        <is>
          <t>BRUCE WALLACE STOCCO</t>
        </is>
      </c>
      <c r="D73" s="87" t="inlineStr">
        <is>
          <t>Azul</t>
        </is>
      </c>
      <c r="E73" s="87" t="inlineStr">
        <is>
          <t>Isabella</t>
        </is>
      </c>
      <c r="F73" s="87" t="n"/>
      <c r="G73" s="87" t="inlineStr">
        <is>
          <t>Assinado</t>
        </is>
      </c>
    </row>
    <row r="74">
      <c r="A74" s="14" t="n">
        <v>46064</v>
      </c>
      <c r="B74" s="14" t="n">
        <v>46072</v>
      </c>
      <c r="C74" s="87" t="inlineStr">
        <is>
          <t>RICARDO AUGUSTO DE BARROS</t>
        </is>
      </c>
      <c r="D74" s="87" t="inlineStr">
        <is>
          <t>Suhai</t>
        </is>
      </c>
      <c r="E74" s="87" t="inlineStr">
        <is>
          <t>Leticia</t>
        </is>
      </c>
      <c r="F74" s="87" t="n"/>
      <c r="G74" s="87" t="inlineStr">
        <is>
          <t>Assinado</t>
        </is>
      </c>
    </row>
    <row r="75">
      <c r="A75" s="14" t="n">
        <v>46064</v>
      </c>
      <c r="B75" s="14" t="n">
        <v>46072</v>
      </c>
      <c r="C75" s="87" t="inlineStr">
        <is>
          <t>WELLINGTON OLIVEIRA DA SILVA</t>
        </is>
      </c>
      <c r="D75" s="87" t="inlineStr">
        <is>
          <t>Itaú</t>
        </is>
      </c>
      <c r="E75" s="87" t="inlineStr">
        <is>
          <t>Jacqueline</t>
        </is>
      </c>
      <c r="F75" s="87" t="n"/>
      <c r="G75" s="87" t="inlineStr">
        <is>
          <t>Assinado</t>
        </is>
      </c>
    </row>
    <row r="76">
      <c r="A76" s="14" t="n">
        <v>46064</v>
      </c>
      <c r="B76" s="14" t="n">
        <v>46072</v>
      </c>
      <c r="C76" s="87" t="inlineStr">
        <is>
          <t>RYAN LOPES DE JESUS</t>
        </is>
      </c>
      <c r="D76" s="87" t="inlineStr">
        <is>
          <t>Suhai</t>
        </is>
      </c>
      <c r="E76" s="87" t="inlineStr">
        <is>
          <t>Jacqueline</t>
        </is>
      </c>
      <c r="F76" s="87" t="n"/>
      <c r="G76" s="87" t="inlineStr">
        <is>
          <t>Assinado</t>
        </is>
      </c>
    </row>
    <row r="77">
      <c r="A77" s="14" t="n">
        <v>46064</v>
      </c>
      <c r="B77" s="14" t="n">
        <v>46072</v>
      </c>
      <c r="C77" s="87" t="inlineStr">
        <is>
          <t>ADAILTON PEREIRA LIMA</t>
        </is>
      </c>
      <c r="D77" s="87" t="inlineStr">
        <is>
          <t>Tokio</t>
        </is>
      </c>
      <c r="E77" s="87" t="inlineStr">
        <is>
          <t>John</t>
        </is>
      </c>
      <c r="F77" s="87" t="n"/>
      <c r="G77" s="87" t="inlineStr">
        <is>
          <t>Consultor em contato</t>
        </is>
      </c>
      <c r="I77" s="14" t="n">
        <v>46080</v>
      </c>
      <c r="J77" s="14" t="n">
        <v>46060</v>
      </c>
      <c r="K77" s="14" t="n">
        <v>46091</v>
      </c>
    </row>
    <row r="78">
      <c r="A78" s="14" t="n">
        <v>46065</v>
      </c>
      <c r="B78" s="14" t="n">
        <v>46073</v>
      </c>
      <c r="C78" s="87" t="inlineStr">
        <is>
          <t>JOLVANO GOMES PEREIRA</t>
        </is>
      </c>
      <c r="D78" s="87" t="inlineStr">
        <is>
          <t>Tokio</t>
        </is>
      </c>
      <c r="E78" s="87" t="inlineStr">
        <is>
          <t>Enzo</t>
        </is>
      </c>
      <c r="F78" s="87" t="n"/>
      <c r="G78" s="87" t="inlineStr">
        <is>
          <t>Consultor em contato</t>
        </is>
      </c>
      <c r="I78" s="14" t="n">
        <v>46080</v>
      </c>
      <c r="J78" s="14" t="n">
        <v>46060</v>
      </c>
      <c r="K78" s="14" t="n">
        <v>46091</v>
      </c>
    </row>
    <row r="79">
      <c r="A79" s="14" t="n">
        <v>46065</v>
      </c>
      <c r="B79" s="14" t="n">
        <v>46073</v>
      </c>
      <c r="C79" s="87" t="inlineStr">
        <is>
          <t>GLAUBER EVANGELISTA DE FREITAS</t>
        </is>
      </c>
      <c r="D79" s="87" t="inlineStr">
        <is>
          <t>Azul</t>
        </is>
      </c>
      <c r="E79" s="87" t="inlineStr">
        <is>
          <t>Isabella</t>
        </is>
      </c>
      <c r="F79" s="87" t="n"/>
      <c r="G79" s="87" t="inlineStr">
        <is>
          <t>Assinado</t>
        </is>
      </c>
    </row>
    <row r="80">
      <c r="A80" s="14" t="n">
        <v>46065</v>
      </c>
      <c r="B80" s="14" t="n">
        <v>46073</v>
      </c>
      <c r="C80" s="87" t="inlineStr">
        <is>
          <t>DANILO SANCHES</t>
        </is>
      </c>
      <c r="D80" s="87" t="inlineStr">
        <is>
          <t>Allianz</t>
        </is>
      </c>
      <c r="E80" s="87" t="inlineStr">
        <is>
          <t>Myrelle</t>
        </is>
      </c>
      <c r="F80" s="87" t="n"/>
      <c r="G80" s="87" t="inlineStr">
        <is>
          <t>Assinado</t>
        </is>
      </c>
    </row>
    <row r="81">
      <c r="A81" s="14" t="n">
        <v>46065</v>
      </c>
      <c r="B81" s="14" t="n">
        <v>46073</v>
      </c>
      <c r="C81" s="87" t="inlineStr">
        <is>
          <t>DEBORA MARCELLE BATISTA FERREIRA DA SILVA</t>
        </is>
      </c>
      <c r="D81" s="87" t="inlineStr">
        <is>
          <t>Suhai</t>
        </is>
      </c>
      <c r="E81" s="87" t="inlineStr">
        <is>
          <t>Jacqueline</t>
        </is>
      </c>
      <c r="F81" s="87" t="n"/>
      <c r="G81" s="87" t="inlineStr">
        <is>
          <t>Consultor em contato</t>
        </is>
      </c>
      <c r="I81" s="14" t="n">
        <v>46080</v>
      </c>
      <c r="J81" s="14" t="n">
        <v>46059</v>
      </c>
      <c r="K81" s="14" t="n">
        <v>46090</v>
      </c>
    </row>
    <row r="82">
      <c r="A82" s="14" t="n">
        <v>46065</v>
      </c>
      <c r="B82" s="14" t="n">
        <v>46073</v>
      </c>
      <c r="C82" s="87" t="inlineStr">
        <is>
          <t>APARECIDA DE FATIMA BALDUINO</t>
        </is>
      </c>
      <c r="D82" s="87" t="inlineStr">
        <is>
          <t>Tokio</t>
        </is>
      </c>
      <c r="E82" s="87" t="inlineStr">
        <is>
          <t>Jacqueline</t>
        </is>
      </c>
      <c r="F82" s="87" t="n"/>
      <c r="G82" s="87" t="inlineStr">
        <is>
          <t>Assinado</t>
        </is>
      </c>
      <c r="I82" s="14" t="n">
        <v>46080</v>
      </c>
      <c r="J82" s="14" t="n">
        <v>46059</v>
      </c>
      <c r="K82" s="14" t="n">
        <v>46090</v>
      </c>
    </row>
    <row r="83">
      <c r="A83" s="14" t="n">
        <v>46065</v>
      </c>
      <c r="B83" s="14" t="n">
        <v>46073</v>
      </c>
      <c r="C83" s="87" t="inlineStr">
        <is>
          <t>NIVALDA MARIA ALVES DOS SANTOS</t>
        </is>
      </c>
      <c r="D83" s="87" t="inlineStr">
        <is>
          <t>Azul</t>
        </is>
      </c>
      <c r="E83" s="87" t="inlineStr">
        <is>
          <t>Leticia</t>
        </is>
      </c>
      <c r="F83" s="87" t="n"/>
      <c r="G83" s="87" t="inlineStr">
        <is>
          <t>Assinado</t>
        </is>
      </c>
    </row>
    <row r="84">
      <c r="A84" s="14" t="n">
        <v>46065</v>
      </c>
      <c r="B84" s="14" t="n">
        <v>46073</v>
      </c>
      <c r="C84" s="87" t="inlineStr">
        <is>
          <t>RICARDO AUGUSTO DE BARROS</t>
        </is>
      </c>
      <c r="D84" s="87" t="inlineStr">
        <is>
          <t>Azul</t>
        </is>
      </c>
      <c r="E84" s="87" t="inlineStr">
        <is>
          <t>Leticia</t>
        </is>
      </c>
      <c r="F84" s="87" t="n"/>
      <c r="G84" s="87" t="inlineStr">
        <is>
          <t>Assinado</t>
        </is>
      </c>
    </row>
    <row r="85">
      <c r="A85" s="14" t="n">
        <v>46065</v>
      </c>
      <c r="B85" s="14" t="n">
        <v>46073</v>
      </c>
      <c r="C85" s="87" t="inlineStr">
        <is>
          <t>KATIANE FELIPE DE MATTOS</t>
        </is>
      </c>
      <c r="D85" s="87" t="inlineStr">
        <is>
          <t>Azul</t>
        </is>
      </c>
      <c r="E85" s="87" t="inlineStr">
        <is>
          <t>John</t>
        </is>
      </c>
      <c r="F85" s="87" t="n"/>
      <c r="G85" s="87" t="inlineStr">
        <is>
          <t>Assinado</t>
        </is>
      </c>
    </row>
    <row r="86">
      <c r="A86" s="14" t="n">
        <v>46065</v>
      </c>
      <c r="B86" s="14" t="n">
        <v>46073</v>
      </c>
      <c r="C86" s="87" t="inlineStr">
        <is>
          <t>JOAO BATISTA DA CRUZ FILHO</t>
        </is>
      </c>
      <c r="D86" s="87" t="inlineStr">
        <is>
          <t>Itaú</t>
        </is>
      </c>
      <c r="E86" s="87" t="inlineStr">
        <is>
          <t>Jacqueline</t>
        </is>
      </c>
      <c r="F86" s="87" t="n"/>
      <c r="G86" s="87" t="inlineStr">
        <is>
          <t>Assinado</t>
        </is>
      </c>
    </row>
    <row r="87">
      <c r="A87" s="14" t="n">
        <v>46065</v>
      </c>
      <c r="B87" s="14" t="n">
        <v>46073</v>
      </c>
      <c r="C87" s="87" t="inlineStr">
        <is>
          <t>MARISA PORTO ORTIZ</t>
        </is>
      </c>
      <c r="D87" s="87" t="inlineStr">
        <is>
          <t>Mapfre</t>
        </is>
      </c>
      <c r="E87" s="87" t="inlineStr">
        <is>
          <t>Enzo</t>
        </is>
      </c>
      <c r="F87" s="87" t="n"/>
      <c r="G87" s="87" t="inlineStr">
        <is>
          <t>Assinado</t>
        </is>
      </c>
    </row>
    <row r="88">
      <c r="A88" s="14" t="n">
        <v>46065</v>
      </c>
      <c r="B88" s="14" t="n">
        <v>46073</v>
      </c>
      <c r="C88" s="87" t="inlineStr">
        <is>
          <t>ADAUTO BATISTA DE MORAES</t>
        </is>
      </c>
      <c r="D88" s="87" t="inlineStr">
        <is>
          <t>Azul</t>
        </is>
      </c>
      <c r="E88" s="87" t="inlineStr">
        <is>
          <t>Enzo</t>
        </is>
      </c>
      <c r="F88" s="87" t="n"/>
      <c r="G88" s="87" t="inlineStr">
        <is>
          <t>Assinado</t>
        </is>
      </c>
    </row>
    <row r="89">
      <c r="A89" s="14" t="n">
        <v>46065</v>
      </c>
      <c r="B89" s="14" t="n">
        <v>46073</v>
      </c>
      <c r="C89" s="87" t="inlineStr">
        <is>
          <t>LEONARDO GOECKS DE MEDEIROS</t>
        </is>
      </c>
      <c r="D89" s="87" t="inlineStr">
        <is>
          <t>Tokio</t>
        </is>
      </c>
      <c r="E89" s="87" t="inlineStr">
        <is>
          <t>Enzo</t>
        </is>
      </c>
      <c r="F89" s="87" t="n"/>
      <c r="G89" s="87" t="inlineStr">
        <is>
          <t>Cancelado</t>
        </is>
      </c>
      <c r="I89" s="14" t="n">
        <v>46080</v>
      </c>
      <c r="J89" s="14" t="n">
        <v>46060</v>
      </c>
      <c r="K89" s="14" t="n">
        <v>46091</v>
      </c>
    </row>
    <row r="90">
      <c r="A90" s="14" t="n">
        <v>46065</v>
      </c>
      <c r="B90" s="14" t="n">
        <v>46073</v>
      </c>
      <c r="C90" s="87" t="inlineStr">
        <is>
          <t>YURI KAUA DA SILVA RODRIGUES</t>
        </is>
      </c>
      <c r="D90" s="87" t="inlineStr">
        <is>
          <t>Suhai</t>
        </is>
      </c>
      <c r="E90" s="87" t="inlineStr">
        <is>
          <t>Leticia</t>
        </is>
      </c>
      <c r="F90" s="87" t="n"/>
      <c r="G90" s="87" t="inlineStr">
        <is>
          <t>Assinado</t>
        </is>
      </c>
    </row>
    <row r="91">
      <c r="A91" s="14" t="n">
        <v>46066</v>
      </c>
      <c r="B91" s="14" t="n">
        <v>46074</v>
      </c>
      <c r="C91" s="87" t="inlineStr">
        <is>
          <t>JOHN LENNON LIMA DA SILVA</t>
        </is>
      </c>
      <c r="D91" s="87" t="inlineStr">
        <is>
          <t>Azul</t>
        </is>
      </c>
      <c r="E91" s="87" t="inlineStr">
        <is>
          <t>Enzo</t>
        </is>
      </c>
      <c r="F91" s="87" t="n"/>
      <c r="G91" s="87" t="inlineStr">
        <is>
          <t>Assinado</t>
        </is>
      </c>
    </row>
    <row r="92">
      <c r="A92" s="14" t="n">
        <v>46066</v>
      </c>
      <c r="B92" s="14" t="n">
        <v>46074</v>
      </c>
      <c r="C92" s="87" t="inlineStr">
        <is>
          <t>RODRIGO DUTRA DE OLIVEIRA</t>
        </is>
      </c>
      <c r="D92" s="87" t="inlineStr">
        <is>
          <t>Suhai</t>
        </is>
      </c>
      <c r="E92" s="87" t="inlineStr">
        <is>
          <t>Enzo</t>
        </is>
      </c>
      <c r="F92" s="87" t="n"/>
      <c r="G92" s="87" t="inlineStr">
        <is>
          <t>Cancelado</t>
        </is>
      </c>
      <c r="I92" s="14" t="n"/>
    </row>
    <row r="93">
      <c r="A93" s="14" t="n">
        <v>46066</v>
      </c>
      <c r="B93" s="14" t="n">
        <v>46074</v>
      </c>
      <c r="C93" s="87" t="inlineStr">
        <is>
          <t>FERNANDO GOUVEIA ARAUJO</t>
        </is>
      </c>
      <c r="D93" s="87" t="inlineStr">
        <is>
          <t>Azul</t>
        </is>
      </c>
      <c r="E93" s="87" t="inlineStr">
        <is>
          <t>Myrelle</t>
        </is>
      </c>
      <c r="F93" s="87" t="inlineStr">
        <is>
          <t>Novo</t>
        </is>
      </c>
      <c r="G93" s="87" t="inlineStr">
        <is>
          <t>Assinado</t>
        </is>
      </c>
      <c r="I93" s="14" t="n">
        <v>46056</v>
      </c>
      <c r="J93" s="14" t="n">
        <v>46060</v>
      </c>
      <c r="K93" s="14" t="n">
        <v>46091</v>
      </c>
    </row>
    <row r="94">
      <c r="A94" s="14" t="n">
        <v>46066</v>
      </c>
      <c r="B94" s="14" t="n">
        <v>46074</v>
      </c>
      <c r="C94" s="87" t="inlineStr">
        <is>
          <t>MAGALI APARECIDA MACHADO</t>
        </is>
      </c>
      <c r="D94" s="87" t="inlineStr">
        <is>
          <t>Azul</t>
        </is>
      </c>
      <c r="E94" s="87" t="inlineStr">
        <is>
          <t>John</t>
        </is>
      </c>
      <c r="F94" s="87" t="n"/>
      <c r="G94" s="87" t="inlineStr">
        <is>
          <t>Consultor em contato</t>
        </is>
      </c>
      <c r="I94" s="14" t="n">
        <v>46057</v>
      </c>
      <c r="J94" s="14" t="n">
        <v>46087</v>
      </c>
      <c r="K94" s="14" t="n">
        <v>46090</v>
      </c>
    </row>
    <row r="95">
      <c r="A95" s="14" t="n">
        <v>46066</v>
      </c>
      <c r="B95" s="14" t="n">
        <v>46074</v>
      </c>
      <c r="C95" s="87" t="inlineStr">
        <is>
          <t>LIVIA MARTINS DE PAULO</t>
        </is>
      </c>
      <c r="D95" s="87" t="inlineStr">
        <is>
          <t>Azul</t>
        </is>
      </c>
      <c r="E95" s="87" t="inlineStr">
        <is>
          <t>John</t>
        </is>
      </c>
      <c r="F95" s="87" t="n"/>
      <c r="G95" s="87" t="inlineStr">
        <is>
          <t>Assinado</t>
        </is>
      </c>
    </row>
    <row r="96">
      <c r="A96" s="14" t="n">
        <v>46066</v>
      </c>
      <c r="B96" s="14" t="n">
        <v>46074</v>
      </c>
      <c r="C96" s="87" t="inlineStr">
        <is>
          <t>SANDRA RACKI</t>
        </is>
      </c>
      <c r="D96" s="87" t="inlineStr">
        <is>
          <t>Azul</t>
        </is>
      </c>
      <c r="E96" s="87" t="inlineStr">
        <is>
          <t>John</t>
        </is>
      </c>
      <c r="F96" s="87" t="n"/>
      <c r="G96" s="87" t="inlineStr">
        <is>
          <t>Assinado</t>
        </is>
      </c>
    </row>
    <row r="97">
      <c r="A97" s="14" t="n">
        <v>46066</v>
      </c>
      <c r="B97" s="14" t="n">
        <v>46074</v>
      </c>
      <c r="C97" s="87" t="inlineStr">
        <is>
          <t>JOSE MARIA DA SILVA</t>
        </is>
      </c>
      <c r="D97" s="87" t="inlineStr">
        <is>
          <t>Azul</t>
        </is>
      </c>
      <c r="E97" s="87" t="inlineStr">
        <is>
          <t>John</t>
        </is>
      </c>
      <c r="F97" s="87" t="inlineStr">
        <is>
          <t>Renovação</t>
        </is>
      </c>
      <c r="G97" s="87" t="inlineStr">
        <is>
          <t>Consultor em contato</t>
        </is>
      </c>
      <c r="I97" s="14" t="n">
        <v>46056</v>
      </c>
      <c r="J97" s="14" t="n">
        <v>46060</v>
      </c>
      <c r="K97" s="14" t="n">
        <v>46091</v>
      </c>
    </row>
    <row r="98">
      <c r="A98" s="14" t="n">
        <v>46066</v>
      </c>
      <c r="B98" s="14" t="n">
        <v>46074</v>
      </c>
      <c r="C98" s="87" t="inlineStr">
        <is>
          <t>VANER MENDES DA SILVA</t>
        </is>
      </c>
      <c r="D98" s="87" t="inlineStr">
        <is>
          <t>Tokio</t>
        </is>
      </c>
      <c r="E98" s="87" t="inlineStr">
        <is>
          <t>John</t>
        </is>
      </c>
      <c r="F98" s="87" t="n"/>
      <c r="G98" s="87" t="inlineStr">
        <is>
          <t>Assinado</t>
        </is>
      </c>
    </row>
    <row r="99">
      <c r="A99" s="14" t="n">
        <v>46071</v>
      </c>
      <c r="B99" s="14" t="n">
        <v>46079</v>
      </c>
      <c r="C99" s="87" t="inlineStr">
        <is>
          <t>JOSE FERNANDO FERREIRA</t>
        </is>
      </c>
      <c r="D99" s="87" t="inlineStr">
        <is>
          <t>Porto</t>
        </is>
      </c>
      <c r="E99" s="87" t="inlineStr">
        <is>
          <t>Jacqueline</t>
        </is>
      </c>
      <c r="F99" s="87" t="n"/>
      <c r="G99" s="87" t="inlineStr">
        <is>
          <t>Consultor em contato</t>
        </is>
      </c>
      <c r="I99" s="14" t="n">
        <v>46087</v>
      </c>
      <c r="K99" s="14" t="n">
        <v>46090</v>
      </c>
    </row>
    <row r="100">
      <c r="A100" s="14" t="n">
        <v>46071</v>
      </c>
      <c r="B100" s="14" t="n">
        <v>46079</v>
      </c>
      <c r="C100" s="87" t="inlineStr">
        <is>
          <t>FRANCINE DE CARVALHO LUCIANO MOYA</t>
        </is>
      </c>
      <c r="D100" s="87" t="inlineStr">
        <is>
          <t>Allianz</t>
        </is>
      </c>
      <c r="E100" s="87" t="inlineStr">
        <is>
          <t>Jacqueline</t>
        </is>
      </c>
      <c r="F100" s="87" t="n"/>
      <c r="G100" s="87" t="inlineStr">
        <is>
          <t>Assinado</t>
        </is>
      </c>
    </row>
    <row r="101">
      <c r="A101" s="14" t="n">
        <v>46071</v>
      </c>
      <c r="B101" s="14" t="n">
        <v>46079</v>
      </c>
      <c r="C101" s="87" t="inlineStr">
        <is>
          <t>VAGNER RODRIGUES DOS SANTOS</t>
        </is>
      </c>
      <c r="D101" s="87" t="inlineStr">
        <is>
          <t>Mapfre</t>
        </is>
      </c>
      <c r="E101" s="87" t="inlineStr">
        <is>
          <t>Jacqueline</t>
        </is>
      </c>
      <c r="F101" s="87" t="n"/>
      <c r="G101" s="87" t="inlineStr">
        <is>
          <t>Assinado</t>
        </is>
      </c>
    </row>
    <row r="102">
      <c r="A102" s="14" t="n">
        <v>46071</v>
      </c>
      <c r="B102" s="14" t="n">
        <v>46079</v>
      </c>
      <c r="C102" s="87" t="inlineStr">
        <is>
          <t>DENISE ALESSANDRA EZIQUIEL</t>
        </is>
      </c>
      <c r="D102" s="87" t="inlineStr">
        <is>
          <t>Azul</t>
        </is>
      </c>
      <c r="E102" s="87" t="inlineStr">
        <is>
          <t>John</t>
        </is>
      </c>
      <c r="F102" s="87" t="inlineStr">
        <is>
          <t>Renovação</t>
        </is>
      </c>
      <c r="G102" s="87" t="inlineStr">
        <is>
          <t>Consultor em contato</t>
        </is>
      </c>
      <c r="I102" s="14" t="n">
        <v>46091</v>
      </c>
      <c r="K102" s="14" t="n">
        <v>46094</v>
      </c>
    </row>
    <row r="103">
      <c r="A103" s="14" t="n">
        <v>46071</v>
      </c>
      <c r="B103" s="14" t="n">
        <v>46079</v>
      </c>
      <c r="C103" s="87" t="inlineStr">
        <is>
          <t>IVANILDA TEREZINHA LIMA CABECA</t>
        </is>
      </c>
      <c r="D103" s="87" t="inlineStr">
        <is>
          <t>Tokio</t>
        </is>
      </c>
      <c r="E103" s="87" t="inlineStr">
        <is>
          <t>John</t>
        </is>
      </c>
      <c r="F103" s="87" t="n"/>
      <c r="G103" s="87" t="inlineStr">
        <is>
          <t>Assinado</t>
        </is>
      </c>
      <c r="I103" s="14" t="n">
        <v>46087</v>
      </c>
      <c r="K103" s="14" t="n">
        <v>46090</v>
      </c>
    </row>
    <row r="104">
      <c r="A104" s="14" t="n">
        <v>46071</v>
      </c>
      <c r="B104" s="14" t="n">
        <v>46079</v>
      </c>
      <c r="C104" s="87" t="inlineStr">
        <is>
          <t>APARECIDA DE OLIVEIRA DOS SANTOS SILVA</t>
        </is>
      </c>
      <c r="D104" s="87" t="inlineStr">
        <is>
          <t>Azul</t>
        </is>
      </c>
      <c r="E104" s="87" t="inlineStr">
        <is>
          <t>John</t>
        </is>
      </c>
      <c r="F104" s="87" t="n"/>
      <c r="G104" s="87" t="inlineStr">
        <is>
          <t>Assinado</t>
        </is>
      </c>
    </row>
    <row r="105">
      <c r="A105" s="14" t="n">
        <v>46071</v>
      </c>
      <c r="B105" s="14" t="n">
        <v>46079</v>
      </c>
      <c r="C105" s="87" t="inlineStr">
        <is>
          <t>DENYS FRANCISCO DE FREITAS</t>
        </is>
      </c>
      <c r="D105" s="87" t="inlineStr">
        <is>
          <t>Suhai</t>
        </is>
      </c>
      <c r="E105" s="87" t="inlineStr">
        <is>
          <t>John</t>
        </is>
      </c>
      <c r="F105" s="87" t="n"/>
      <c r="G105" s="87" t="inlineStr">
        <is>
          <t>Assinado</t>
        </is>
      </c>
    </row>
    <row r="106">
      <c r="A106" s="14" t="n">
        <v>46072</v>
      </c>
      <c r="B106" s="14" t="n">
        <v>46080</v>
      </c>
      <c r="C106" s="87" t="inlineStr">
        <is>
          <t>ELIAZAR ROSENDO DE SALES</t>
        </is>
      </c>
      <c r="D106" s="87" t="inlineStr">
        <is>
          <t>Allianz</t>
        </is>
      </c>
      <c r="E106" s="87" t="inlineStr">
        <is>
          <t>Leticia</t>
        </is>
      </c>
      <c r="F106" s="87" t="n"/>
      <c r="G106" s="87" t="inlineStr">
        <is>
          <t>Assinado</t>
        </is>
      </c>
    </row>
    <row r="107">
      <c r="A107" s="14" t="n">
        <v>46072</v>
      </c>
      <c r="B107" s="14" t="n">
        <v>46080</v>
      </c>
      <c r="C107" s="87" t="inlineStr">
        <is>
          <t>LUCAS GABRIEL DOS SANTOS</t>
        </is>
      </c>
      <c r="D107" s="87" t="inlineStr">
        <is>
          <t>Tokio</t>
        </is>
      </c>
      <c r="E107" s="87" t="inlineStr">
        <is>
          <t>John</t>
        </is>
      </c>
      <c r="F107" s="87" t="n"/>
      <c r="G107" s="87" t="inlineStr">
        <is>
          <t>Assinado</t>
        </is>
      </c>
    </row>
    <row r="108">
      <c r="A108" s="14" t="n">
        <v>46072</v>
      </c>
      <c r="B108" s="14" t="n">
        <v>46080</v>
      </c>
      <c r="C108" s="87" t="inlineStr">
        <is>
          <t>AGUINALDO GONCALVES</t>
        </is>
      </c>
      <c r="D108" s="87" t="inlineStr">
        <is>
          <t>Porto</t>
        </is>
      </c>
      <c r="E108" s="87" t="inlineStr">
        <is>
          <t>John</t>
        </is>
      </c>
      <c r="F108" s="87" t="n"/>
      <c r="G108" s="87" t="inlineStr">
        <is>
          <t>Assinado</t>
        </is>
      </c>
    </row>
    <row r="109">
      <c r="A109" s="14" t="n">
        <v>46072</v>
      </c>
      <c r="B109" s="14" t="n">
        <v>46080</v>
      </c>
      <c r="C109" s="87" t="inlineStr">
        <is>
          <t>CILENE GONCALVES DE LIMA</t>
        </is>
      </c>
      <c r="D109" s="87" t="inlineStr">
        <is>
          <t>Suhai</t>
        </is>
      </c>
      <c r="E109" s="87" t="inlineStr">
        <is>
          <t>Jacqueline</t>
        </is>
      </c>
      <c r="F109" s="87" t="n"/>
      <c r="G109" s="87" t="inlineStr">
        <is>
          <t>Assinado</t>
        </is>
      </c>
    </row>
    <row r="110">
      <c r="A110" s="14" t="n">
        <v>46072</v>
      </c>
      <c r="B110" s="14" t="n">
        <v>46080</v>
      </c>
      <c r="C110" s="87" t="inlineStr">
        <is>
          <t>LEANDRO FERNANDES</t>
        </is>
      </c>
      <c r="D110" s="87" t="inlineStr">
        <is>
          <t>Azul</t>
        </is>
      </c>
      <c r="E110" s="87" t="inlineStr">
        <is>
          <t>Jacqueline</t>
        </is>
      </c>
      <c r="F110" s="87" t="n"/>
      <c r="G110" s="87" t="inlineStr">
        <is>
          <t>Cancelado</t>
        </is>
      </c>
      <c r="I110" s="14" t="n">
        <v>46088</v>
      </c>
      <c r="K110" s="14" t="n">
        <v>46090</v>
      </c>
    </row>
    <row r="111">
      <c r="A111" s="14" t="n">
        <v>46072</v>
      </c>
      <c r="B111" s="14" t="n">
        <v>46080</v>
      </c>
      <c r="C111" s="87" t="inlineStr">
        <is>
          <t>ARY DEAMO ALVES JUNIOR</t>
        </is>
      </c>
      <c r="D111" s="87" t="inlineStr">
        <is>
          <t>Azul</t>
        </is>
      </c>
      <c r="E111" s="87" t="inlineStr">
        <is>
          <t>Jacqueline</t>
        </is>
      </c>
      <c r="F111" s="87" t="n"/>
      <c r="G111" s="87" t="inlineStr">
        <is>
          <t>Assinado</t>
        </is>
      </c>
    </row>
    <row r="112">
      <c r="A112" s="14" t="n">
        <v>46072</v>
      </c>
      <c r="B112" s="14" t="n">
        <v>46080</v>
      </c>
      <c r="C112" s="87" t="inlineStr">
        <is>
          <t>NATHAN LEVY TARTAROTTI FIALHO</t>
        </is>
      </c>
      <c r="D112" s="87" t="inlineStr">
        <is>
          <t>Azul</t>
        </is>
      </c>
      <c r="E112" s="87" t="inlineStr">
        <is>
          <t>Myrelle</t>
        </is>
      </c>
      <c r="F112" s="87" t="n"/>
      <c r="G112" s="87" t="inlineStr">
        <is>
          <t>Assinado</t>
        </is>
      </c>
    </row>
    <row r="113">
      <c r="A113" s="14" t="n">
        <v>46072</v>
      </c>
      <c r="B113" s="14" t="n">
        <v>46080</v>
      </c>
      <c r="C113" s="87" t="inlineStr">
        <is>
          <t>GILDACIO DA SILVA PESSOA</t>
        </is>
      </c>
      <c r="D113" s="87" t="inlineStr">
        <is>
          <t>Allianz</t>
        </is>
      </c>
      <c r="E113" s="87" t="inlineStr">
        <is>
          <t>Myrelle</t>
        </is>
      </c>
      <c r="F113" s="87" t="inlineStr">
        <is>
          <t>Novo</t>
        </is>
      </c>
      <c r="G113" s="87" t="inlineStr">
        <is>
          <t>Assinado</t>
        </is>
      </c>
      <c r="I113" s="14" t="n">
        <v>46088</v>
      </c>
      <c r="K113" s="14" t="n">
        <v>46091</v>
      </c>
    </row>
    <row r="114">
      <c r="A114" s="14" t="n">
        <v>46072</v>
      </c>
      <c r="B114" s="14" t="n">
        <v>46080</v>
      </c>
      <c r="C114" s="87" t="inlineStr">
        <is>
          <t>THAINARA MARTINS DA SILVA</t>
        </is>
      </c>
      <c r="D114" s="87" t="inlineStr">
        <is>
          <t>Itaú</t>
        </is>
      </c>
      <c r="E114" s="87" t="inlineStr">
        <is>
          <t>John</t>
        </is>
      </c>
      <c r="F114" s="87" t="n"/>
      <c r="G114" s="87" t="inlineStr">
        <is>
          <t>Consultor em contato</t>
        </is>
      </c>
      <c r="I114" s="14" t="n">
        <v>46088</v>
      </c>
      <c r="K114" s="14" t="n">
        <v>46091</v>
      </c>
    </row>
    <row r="115">
      <c r="A115" s="14" t="n">
        <v>46072</v>
      </c>
      <c r="B115" s="14" t="n">
        <v>46080</v>
      </c>
      <c r="C115" s="87" t="inlineStr">
        <is>
          <t>JOSE VICENTE BORBOREMA</t>
        </is>
      </c>
      <c r="D115" s="87" t="inlineStr">
        <is>
          <t>Porto</t>
        </is>
      </c>
      <c r="E115" s="87" t="inlineStr">
        <is>
          <t>John</t>
        </is>
      </c>
      <c r="F115" s="87" t="n"/>
      <c r="G115" s="87" t="inlineStr">
        <is>
          <t>Assinado</t>
        </is>
      </c>
    </row>
    <row r="116">
      <c r="A116" s="14" t="n">
        <v>46072</v>
      </c>
      <c r="B116" s="14" t="n">
        <v>46080</v>
      </c>
      <c r="C116" s="87" t="inlineStr">
        <is>
          <t>GABRIEL SILVA SANTOS</t>
        </is>
      </c>
      <c r="D116" s="87" t="inlineStr">
        <is>
          <t>Suhai</t>
        </is>
      </c>
      <c r="E116" s="87" t="inlineStr">
        <is>
          <t>John</t>
        </is>
      </c>
      <c r="F116" s="87" t="n"/>
      <c r="G116" s="87" t="inlineStr">
        <is>
          <t>Assinado</t>
        </is>
      </c>
    </row>
    <row r="117">
      <c r="A117" s="14" t="n">
        <v>46072</v>
      </c>
      <c r="B117" s="14" t="n">
        <v>46080</v>
      </c>
      <c r="C117" s="87" t="inlineStr">
        <is>
          <t>VINICIUS AQUILINO LOPES</t>
        </is>
      </c>
      <c r="D117" s="87" t="inlineStr">
        <is>
          <t>Suhai</t>
        </is>
      </c>
      <c r="E117" s="87" t="inlineStr">
        <is>
          <t>Jéssica</t>
        </is>
      </c>
      <c r="F117" s="87" t="n"/>
      <c r="G117" s="87" t="inlineStr">
        <is>
          <t>Assinado</t>
        </is>
      </c>
    </row>
    <row r="118">
      <c r="A118" s="14" t="n">
        <v>46073</v>
      </c>
      <c r="B118" s="14" t="n">
        <v>46081</v>
      </c>
      <c r="C118" s="87" t="inlineStr">
        <is>
          <t>LUIZ ROGERIO DIAS CUNHA</t>
        </is>
      </c>
      <c r="D118" s="87" t="inlineStr">
        <is>
          <t>Azul</t>
        </is>
      </c>
      <c r="E118" s="87" t="inlineStr">
        <is>
          <t>Enzo</t>
        </is>
      </c>
      <c r="F118" s="87" t="n"/>
      <c r="G118" s="87" t="inlineStr">
        <is>
          <t>Pendente (manual)</t>
        </is>
      </c>
    </row>
    <row r="119">
      <c r="A119" s="14" t="n">
        <v>46073</v>
      </c>
      <c r="B119" s="14" t="n">
        <v>46081</v>
      </c>
      <c r="C119" s="87" t="inlineStr">
        <is>
          <t>JULYANE LEONARDI PEREIRA ALENCAR</t>
        </is>
      </c>
      <c r="D119" s="87" t="inlineStr">
        <is>
          <t>Porto</t>
        </is>
      </c>
      <c r="E119" s="87" t="inlineStr">
        <is>
          <t>John</t>
        </is>
      </c>
      <c r="F119" s="87" t="n"/>
      <c r="G119" s="87" t="inlineStr">
        <is>
          <t>Assinado</t>
        </is>
      </c>
    </row>
    <row r="120">
      <c r="A120" s="14" t="n">
        <v>46073</v>
      </c>
      <c r="B120" s="14" t="n">
        <v>46081</v>
      </c>
      <c r="C120" s="87" t="inlineStr">
        <is>
          <t>RAQUEL LIMEIRA BARBOSA</t>
        </is>
      </c>
      <c r="D120" s="87" t="inlineStr">
        <is>
          <t>Azul</t>
        </is>
      </c>
      <c r="E120" s="87" t="inlineStr">
        <is>
          <t>John</t>
        </is>
      </c>
      <c r="F120" s="87" t="n"/>
      <c r="G120" s="87" t="inlineStr">
        <is>
          <t>Assinado</t>
        </is>
      </c>
    </row>
    <row r="121">
      <c r="A121" s="14" t="n">
        <v>46073</v>
      </c>
      <c r="B121" s="14" t="n">
        <v>46081</v>
      </c>
      <c r="C121" s="87" t="inlineStr">
        <is>
          <t>GELSIMAR DOS SANTOS</t>
        </is>
      </c>
      <c r="D121" s="87" t="inlineStr">
        <is>
          <t>Yellum</t>
        </is>
      </c>
      <c r="E121" s="87" t="inlineStr">
        <is>
          <t>Enzo</t>
        </is>
      </c>
      <c r="F121" s="87" t="n"/>
      <c r="G121" s="87" t="inlineStr">
        <is>
          <t>Assinado</t>
        </is>
      </c>
    </row>
    <row r="122">
      <c r="A122" s="14" t="n">
        <v>46073</v>
      </c>
      <c r="B122" s="14" t="n">
        <v>46081</v>
      </c>
      <c r="C122" s="87" t="inlineStr">
        <is>
          <t>ROBERIO MANOEL DA SILVA</t>
        </is>
      </c>
      <c r="D122" s="87" t="inlineStr">
        <is>
          <t>Porto</t>
        </is>
      </c>
      <c r="E122" s="87" t="inlineStr">
        <is>
          <t>John</t>
        </is>
      </c>
      <c r="F122" s="87" t="n"/>
      <c r="G122" s="87" t="inlineStr">
        <is>
          <t>Assinado</t>
        </is>
      </c>
    </row>
    <row r="123" s="83">
      <c r="A123" s="14" t="n">
        <v>46073</v>
      </c>
      <c r="B123" s="14" t="n">
        <v>46081</v>
      </c>
      <c r="C123" s="87" t="inlineStr">
        <is>
          <t xml:space="preserve">EDILON SEVERINO </t>
        </is>
      </c>
      <c r="D123" s="87" t="inlineStr">
        <is>
          <t>Allianz</t>
        </is>
      </c>
      <c r="E123" s="87" t="inlineStr">
        <is>
          <t>John</t>
        </is>
      </c>
      <c r="F123" s="87" t="inlineStr">
        <is>
          <t>Renovação</t>
        </is>
      </c>
      <c r="G123" s="87" t="inlineStr">
        <is>
          <t>Consultor em contato</t>
        </is>
      </c>
      <c r="I123" s="14" t="n">
        <v>46087</v>
      </c>
      <c r="J123" s="62" t="n"/>
      <c r="K123" s="14" t="n">
        <v>46090</v>
      </c>
    </row>
    <row r="124">
      <c r="A124" s="14" t="n">
        <v>46073</v>
      </c>
      <c r="B124" s="14" t="n">
        <v>46081</v>
      </c>
      <c r="C124" s="87" t="inlineStr">
        <is>
          <t>MILTON BATISTA SANTOS</t>
        </is>
      </c>
      <c r="D124" s="87" t="inlineStr">
        <is>
          <t>Suhai</t>
        </is>
      </c>
      <c r="E124" s="87" t="inlineStr">
        <is>
          <t>Myrelle</t>
        </is>
      </c>
      <c r="F124" s="87" t="n"/>
      <c r="G124" s="87" t="inlineStr">
        <is>
          <t>Assinado</t>
        </is>
      </c>
    </row>
    <row r="125">
      <c r="A125" s="14" t="n">
        <v>46073</v>
      </c>
      <c r="B125" s="14" t="n">
        <v>46081</v>
      </c>
      <c r="C125" s="87" t="inlineStr">
        <is>
          <t>RONIERISON CAVALCANTI LIMA</t>
        </is>
      </c>
      <c r="D125" s="87" t="inlineStr">
        <is>
          <t>Azul</t>
        </is>
      </c>
      <c r="E125" s="87" t="inlineStr">
        <is>
          <t>Leticia</t>
        </is>
      </c>
      <c r="F125" s="87" t="n"/>
      <c r="G125" s="87" t="inlineStr">
        <is>
          <t>Assinado</t>
        </is>
      </c>
    </row>
    <row r="126">
      <c r="A126" s="14" t="n">
        <v>46073</v>
      </c>
      <c r="B126" s="14" t="n">
        <v>46081</v>
      </c>
      <c r="C126" s="87" t="inlineStr">
        <is>
          <t>OSVALDO FRANCISCO CORREA</t>
        </is>
      </c>
      <c r="D126" s="87" t="inlineStr">
        <is>
          <t>Azul</t>
        </is>
      </c>
      <c r="E126" s="87" t="inlineStr">
        <is>
          <t>Leticia</t>
        </is>
      </c>
      <c r="F126" s="87" t="n"/>
      <c r="G126" s="87" t="inlineStr">
        <is>
          <t>Assinado</t>
        </is>
      </c>
    </row>
    <row r="127" s="83">
      <c r="A127" s="14" t="n">
        <v>46073</v>
      </c>
      <c r="B127" s="14" t="n">
        <v>46081</v>
      </c>
      <c r="C127" s="87" t="inlineStr">
        <is>
          <t>DENISE REGINA DOS REIS</t>
        </is>
      </c>
      <c r="D127" s="87" t="inlineStr">
        <is>
          <t>Azul</t>
        </is>
      </c>
      <c r="E127" s="87" t="inlineStr">
        <is>
          <t>John</t>
        </is>
      </c>
      <c r="F127" s="87" t="inlineStr">
        <is>
          <t>Renovação</t>
        </is>
      </c>
      <c r="G127" s="87" t="inlineStr">
        <is>
          <t>Consultor em contato</t>
        </is>
      </c>
      <c r="I127" s="14" t="n">
        <v>46087</v>
      </c>
      <c r="J127" s="62" t="n"/>
      <c r="K127" s="14" t="n">
        <v>46090</v>
      </c>
    </row>
    <row r="128">
      <c r="A128" s="14" t="n">
        <v>46076</v>
      </c>
      <c r="B128" s="14" t="n">
        <v>46084</v>
      </c>
      <c r="C128" s="87" t="inlineStr">
        <is>
          <t>RONALDO TEIXEIRA DE MACEDO</t>
        </is>
      </c>
      <c r="D128" s="87" t="inlineStr">
        <is>
          <t>Azul</t>
        </is>
      </c>
      <c r="E128" s="87" t="inlineStr">
        <is>
          <t>John</t>
        </is>
      </c>
      <c r="F128" s="87" t="n"/>
      <c r="G128" s="87" t="inlineStr">
        <is>
          <t>Assinado</t>
        </is>
      </c>
      <c r="I128" s="14" t="n">
        <v>46088</v>
      </c>
      <c r="K128" s="14" t="n">
        <v>46091</v>
      </c>
    </row>
    <row r="129">
      <c r="A129" s="14" t="n">
        <v>46076</v>
      </c>
      <c r="B129" s="14" t="n">
        <v>46084</v>
      </c>
      <c r="C129" s="87" t="inlineStr">
        <is>
          <t>FRANCISCO DE PAULO PEIXOTO ARAUJO</t>
        </is>
      </c>
      <c r="D129" s="87" t="inlineStr">
        <is>
          <t>Azul</t>
        </is>
      </c>
      <c r="E129" s="87" t="inlineStr">
        <is>
          <t>John</t>
        </is>
      </c>
      <c r="F129" s="87" t="n"/>
      <c r="G129" s="87" t="inlineStr">
        <is>
          <t>Assinado</t>
        </is>
      </c>
    </row>
    <row r="130">
      <c r="A130" s="14" t="n">
        <v>46076</v>
      </c>
      <c r="B130" s="14" t="n">
        <v>46084</v>
      </c>
      <c r="C130" s="87" t="inlineStr">
        <is>
          <t>CLAUDEMIR AUGUSTO DA SILVA</t>
        </is>
      </c>
      <c r="D130" s="87" t="inlineStr">
        <is>
          <t>Azul</t>
        </is>
      </c>
      <c r="E130" s="87" t="inlineStr">
        <is>
          <t>Jacqueline</t>
        </is>
      </c>
      <c r="F130" s="87" t="n"/>
      <c r="G130" s="87" t="inlineStr">
        <is>
          <t>Assinado</t>
        </is>
      </c>
    </row>
    <row r="131">
      <c r="A131" s="14" t="n">
        <v>46076</v>
      </c>
      <c r="B131" s="14" t="n">
        <v>46084</v>
      </c>
      <c r="C131" s="87" t="inlineStr">
        <is>
          <t>ALUIZIO BATISTA DA SILVA</t>
        </is>
      </c>
      <c r="D131" s="87" t="inlineStr">
        <is>
          <t>Azul</t>
        </is>
      </c>
      <c r="E131" s="87" t="inlineStr">
        <is>
          <t>Jacqueline</t>
        </is>
      </c>
      <c r="F131" s="87" t="n"/>
      <c r="G131" s="87" t="inlineStr">
        <is>
          <t>Consultor em contato</t>
        </is>
      </c>
      <c r="I131" s="14" t="n">
        <v>46087</v>
      </c>
      <c r="K131" s="14" t="n">
        <v>46090</v>
      </c>
    </row>
    <row r="132">
      <c r="A132" s="14" t="n">
        <v>46076</v>
      </c>
      <c r="B132" s="14" t="n">
        <v>46084</v>
      </c>
      <c r="C132" s="87" t="inlineStr">
        <is>
          <t>OSIRIS AUGUSTO PASSARELLI DE MORAES</t>
        </is>
      </c>
      <c r="D132" s="87" t="inlineStr">
        <is>
          <t>Itaú</t>
        </is>
      </c>
      <c r="E132" s="87" t="inlineStr">
        <is>
          <t>Enzo</t>
        </is>
      </c>
      <c r="F132" s="87" t="n"/>
      <c r="G132" s="87" t="inlineStr">
        <is>
          <t>Assinado</t>
        </is>
      </c>
      <c r="I132" s="14" t="n">
        <v>46088</v>
      </c>
      <c r="K132" s="14" t="n"/>
    </row>
    <row r="133">
      <c r="A133" s="14" t="n">
        <v>46076</v>
      </c>
      <c r="B133" s="14" t="n">
        <v>46084</v>
      </c>
      <c r="C133" s="87" t="inlineStr">
        <is>
          <t>PAMELA SILVA FERREIRA DE OLIVEIRA</t>
        </is>
      </c>
      <c r="D133" s="87" t="inlineStr">
        <is>
          <t>Azul</t>
        </is>
      </c>
      <c r="E133" s="87" t="inlineStr">
        <is>
          <t>Enzo</t>
        </is>
      </c>
      <c r="F133" s="87" t="n"/>
      <c r="G133" s="87" t="inlineStr">
        <is>
          <t>Cancelado</t>
        </is>
      </c>
    </row>
    <row r="134">
      <c r="A134" s="14" t="n">
        <v>46077</v>
      </c>
      <c r="B134" s="14" t="n">
        <v>46085</v>
      </c>
      <c r="C134" s="87" t="inlineStr">
        <is>
          <t>FRANCICLEUDO ALVES CARNAUBA</t>
        </is>
      </c>
      <c r="D134" s="87" t="inlineStr">
        <is>
          <t>Azul</t>
        </is>
      </c>
      <c r="E134" s="87" t="inlineStr">
        <is>
          <t>John</t>
        </is>
      </c>
      <c r="F134" s="87" t="n"/>
      <c r="G134" s="87" t="inlineStr">
        <is>
          <t>Consultor em contato</t>
        </is>
      </c>
      <c r="I134" s="14" t="n">
        <v>46087</v>
      </c>
      <c r="K134" s="14" t="n">
        <v>46090</v>
      </c>
    </row>
    <row r="135">
      <c r="A135" s="14" t="n">
        <v>46077</v>
      </c>
      <c r="B135" s="14" t="n">
        <v>46085</v>
      </c>
      <c r="C135" s="87" t="inlineStr">
        <is>
          <t>MAIKON MARTINS PEREIRA</t>
        </is>
      </c>
      <c r="D135" s="87" t="inlineStr">
        <is>
          <t>Azul</t>
        </is>
      </c>
      <c r="E135" s="87" t="inlineStr">
        <is>
          <t>Enzo</t>
        </is>
      </c>
      <c r="F135" s="87" t="n"/>
      <c r="G135" s="87" t="inlineStr">
        <is>
          <t>Assinado</t>
        </is>
      </c>
    </row>
    <row r="136">
      <c r="A136" s="14" t="n">
        <v>46077</v>
      </c>
      <c r="B136" s="14" t="n">
        <v>46085</v>
      </c>
      <c r="C136" s="87" t="inlineStr">
        <is>
          <t>MARIA ELIANE MIRANDA</t>
        </is>
      </c>
      <c r="D136" s="87" t="inlineStr">
        <is>
          <t>Porto</t>
        </is>
      </c>
      <c r="E136" s="87" t="inlineStr">
        <is>
          <t>John</t>
        </is>
      </c>
      <c r="F136" s="87" t="n"/>
      <c r="G136" s="87" t="inlineStr">
        <is>
          <t>Assinado</t>
        </is>
      </c>
    </row>
    <row r="137">
      <c r="A137" s="14" t="n">
        <v>46077</v>
      </c>
      <c r="B137" s="14" t="n">
        <v>46085</v>
      </c>
      <c r="C137" s="87" t="inlineStr">
        <is>
          <t>THIAGO MARTINS DE SOUSA</t>
        </is>
      </c>
      <c r="D137" s="87" t="inlineStr">
        <is>
          <t>Suhai</t>
        </is>
      </c>
      <c r="E137" s="87" t="inlineStr">
        <is>
          <t>John</t>
        </is>
      </c>
      <c r="F137" s="87" t="n"/>
      <c r="G137" s="87" t="inlineStr">
        <is>
          <t>Assinado</t>
        </is>
      </c>
    </row>
    <row r="138">
      <c r="A138" s="14" t="n">
        <v>46077</v>
      </c>
      <c r="B138" s="14" t="n">
        <v>46085</v>
      </c>
      <c r="C138" s="87" t="inlineStr">
        <is>
          <t>DAYANE ANDREA DA SILVA ALMEIDA</t>
        </is>
      </c>
      <c r="D138" s="87" t="inlineStr">
        <is>
          <t>Suhai</t>
        </is>
      </c>
      <c r="E138" s="87" t="inlineStr">
        <is>
          <t>Leticia</t>
        </is>
      </c>
      <c r="F138" s="87" t="n"/>
      <c r="G138" s="87" t="inlineStr">
        <is>
          <t>Assinado</t>
        </is>
      </c>
    </row>
    <row r="139">
      <c r="A139" s="14" t="n">
        <v>46077</v>
      </c>
      <c r="B139" s="14" t="n">
        <v>46085</v>
      </c>
      <c r="C139" s="87" t="inlineStr">
        <is>
          <t>SUZANI FERREIRA SILVA SOUZA</t>
        </is>
      </c>
      <c r="D139" s="87" t="inlineStr">
        <is>
          <t>Suhai</t>
        </is>
      </c>
      <c r="E139" s="87" t="inlineStr">
        <is>
          <t>Leticia</t>
        </is>
      </c>
      <c r="F139" s="87" t="inlineStr">
        <is>
          <t>Novo</t>
        </is>
      </c>
      <c r="G139" s="87" t="inlineStr">
        <is>
          <t>Cancelado</t>
        </is>
      </c>
      <c r="I139" s="14" t="n">
        <v>46088</v>
      </c>
      <c r="K139" s="14" t="n">
        <v>46091</v>
      </c>
    </row>
    <row r="140">
      <c r="A140" s="14" t="n">
        <v>46077</v>
      </c>
      <c r="B140" s="14" t="n">
        <v>46085</v>
      </c>
      <c r="C140" s="87" t="inlineStr">
        <is>
          <t>LUCAS BRANDAO MORAIS</t>
        </is>
      </c>
      <c r="D140" s="87" t="inlineStr">
        <is>
          <t>Azul</t>
        </is>
      </c>
      <c r="E140" s="87" t="inlineStr">
        <is>
          <t>John</t>
        </is>
      </c>
      <c r="F140" s="87" t="n"/>
      <c r="G140" s="87" t="inlineStr">
        <is>
          <t>Assinado</t>
        </is>
      </c>
    </row>
    <row r="141">
      <c r="A141" s="14" t="n">
        <v>46077</v>
      </c>
      <c r="B141" s="14" t="n">
        <v>46085</v>
      </c>
      <c r="C141" s="87" t="inlineStr">
        <is>
          <t>WILLIANS BEZERRA DE SOUSA</t>
        </is>
      </c>
      <c r="D141" s="87" t="inlineStr">
        <is>
          <t>Tokio</t>
        </is>
      </c>
      <c r="E141" s="87" t="inlineStr">
        <is>
          <t>Isabella</t>
        </is>
      </c>
      <c r="F141" s="87" t="n"/>
      <c r="G141" s="87" t="inlineStr">
        <is>
          <t>Assinado</t>
        </is>
      </c>
    </row>
    <row r="142">
      <c r="A142" s="14" t="n">
        <v>46080</v>
      </c>
      <c r="B142" s="14" t="n">
        <v>46088</v>
      </c>
      <c r="C142" s="87" t="inlineStr">
        <is>
          <t>JOSE ADAO MARTINS CARDOSO</t>
        </is>
      </c>
      <c r="D142" s="87" t="inlineStr">
        <is>
          <t>Tokio</t>
        </is>
      </c>
      <c r="E142" s="87" t="inlineStr">
        <is>
          <t>Isabella</t>
        </is>
      </c>
      <c r="F142" s="87" t="n"/>
      <c r="G142" s="87" t="inlineStr">
        <is>
          <t>Assinado</t>
        </is>
      </c>
    </row>
    <row r="143" s="83">
      <c r="A143" s="14" t="n">
        <v>46077</v>
      </c>
      <c r="B143" s="14" t="n">
        <v>46085</v>
      </c>
      <c r="C143" s="87" t="inlineStr">
        <is>
          <t>IRONILDO BATISTA DE CARVALHO</t>
        </is>
      </c>
      <c r="D143" s="87" t="inlineStr">
        <is>
          <t>Tokio</t>
        </is>
      </c>
      <c r="E143" s="87" t="inlineStr">
        <is>
          <t>Isabella</t>
        </is>
      </c>
      <c r="F143" s="87" t="n"/>
      <c r="G143" s="87" t="inlineStr">
        <is>
          <t>Envio e-mail</t>
        </is>
      </c>
      <c r="I143" s="14" t="n">
        <v>46088</v>
      </c>
      <c r="J143" s="62" t="n"/>
      <c r="K143" s="14" t="n">
        <v>46091</v>
      </c>
    </row>
    <row r="144">
      <c r="A144" s="14" t="n">
        <v>46077</v>
      </c>
      <c r="B144" s="14" t="n">
        <v>46085</v>
      </c>
      <c r="C144" s="87" t="inlineStr">
        <is>
          <t>ALCIONE SILVA DOS SANTOS</t>
        </is>
      </c>
      <c r="D144" s="87" t="inlineStr">
        <is>
          <t>Tokio</t>
        </is>
      </c>
      <c r="E144" s="87" t="inlineStr">
        <is>
          <t>Isabella</t>
        </is>
      </c>
      <c r="F144" s="87" t="n"/>
      <c r="G144" s="87" t="inlineStr">
        <is>
          <t>Assinado</t>
        </is>
      </c>
    </row>
    <row r="145">
      <c r="A145" s="14" t="n">
        <v>46077</v>
      </c>
      <c r="B145" s="14" t="n">
        <v>46085</v>
      </c>
      <c r="C145" s="87" t="inlineStr">
        <is>
          <t>THAIS CRISTINA DA SILVA PEREIRA</t>
        </is>
      </c>
      <c r="D145" s="87" t="inlineStr">
        <is>
          <t>Suhai</t>
        </is>
      </c>
      <c r="E145" s="87" t="inlineStr">
        <is>
          <t>Isabella</t>
        </is>
      </c>
      <c r="F145" s="87" t="n"/>
      <c r="G145" s="87" t="inlineStr">
        <is>
          <t>Assinado</t>
        </is>
      </c>
    </row>
    <row r="146" s="83">
      <c r="A146" s="14" t="n">
        <v>46077</v>
      </c>
      <c r="B146" s="14" t="n">
        <v>46085</v>
      </c>
      <c r="C146" s="87" t="inlineStr">
        <is>
          <t>EDSON VIEIRA DE ALMEIDA</t>
        </is>
      </c>
      <c r="D146" s="87" t="inlineStr">
        <is>
          <t>Porto</t>
        </is>
      </c>
      <c r="E146" s="87" t="inlineStr">
        <is>
          <t>Isabella</t>
        </is>
      </c>
      <c r="F146" s="87" t="n"/>
      <c r="G146" s="87" t="inlineStr">
        <is>
          <t>Envio e-mail</t>
        </is>
      </c>
      <c r="I146" s="14" t="n">
        <v>46088</v>
      </c>
      <c r="J146" s="62" t="n"/>
      <c r="K146" s="14" t="n">
        <v>46091</v>
      </c>
    </row>
    <row r="147">
      <c r="A147" s="14" t="n">
        <v>46078</v>
      </c>
      <c r="B147" s="14" t="n">
        <v>46086</v>
      </c>
      <c r="C147" s="87" t="inlineStr">
        <is>
          <t>JESSICA APARECIDA DE LIMA COSTA</t>
        </is>
      </c>
      <c r="D147" s="87" t="inlineStr">
        <is>
          <t>Azul</t>
        </is>
      </c>
      <c r="E147" s="87" t="inlineStr">
        <is>
          <t>Leticia</t>
        </is>
      </c>
      <c r="F147" s="87" t="inlineStr">
        <is>
          <t>Novo</t>
        </is>
      </c>
      <c r="G147" s="87" t="inlineStr">
        <is>
          <t>Cancelado</t>
        </is>
      </c>
      <c r="I147" s="14" t="n">
        <v>46062</v>
      </c>
      <c r="K147" s="14" t="n">
        <v>46093</v>
      </c>
    </row>
    <row r="148">
      <c r="A148" s="14" t="n">
        <v>46078</v>
      </c>
      <c r="B148" s="14" t="n">
        <v>46086</v>
      </c>
      <c r="C148" s="87" t="inlineStr">
        <is>
          <t>MILER FERREIRA RODRIGUES</t>
        </is>
      </c>
      <c r="D148" s="87" t="inlineStr">
        <is>
          <t>Tokio</t>
        </is>
      </c>
      <c r="E148" s="87" t="inlineStr">
        <is>
          <t>Jacqueline</t>
        </is>
      </c>
      <c r="F148" s="87" t="n"/>
      <c r="G148" s="87" t="inlineStr">
        <is>
          <t>Consultor em contato</t>
        </is>
      </c>
      <c r="I148" s="14" t="n">
        <v>46090</v>
      </c>
      <c r="K148" s="14" t="n">
        <v>46093</v>
      </c>
    </row>
    <row r="149">
      <c r="A149" s="14" t="n">
        <v>46078</v>
      </c>
      <c r="B149" s="14" t="n">
        <v>46086</v>
      </c>
      <c r="C149" s="87" t="inlineStr">
        <is>
          <t>RODRIGO ALMEIDA SILVA</t>
        </is>
      </c>
      <c r="D149" s="87" t="inlineStr">
        <is>
          <t>Azul</t>
        </is>
      </c>
      <c r="E149" s="87" t="inlineStr">
        <is>
          <t>Jacqueline</t>
        </is>
      </c>
      <c r="F149" s="87" t="n"/>
      <c r="G149" s="87" t="inlineStr">
        <is>
          <t>Consultor em contato</t>
        </is>
      </c>
      <c r="I149" s="14" t="n">
        <v>46090</v>
      </c>
      <c r="K149" s="14" t="n">
        <v>46093</v>
      </c>
    </row>
    <row r="150">
      <c r="A150" s="14" t="n">
        <v>46078</v>
      </c>
      <c r="B150" s="14" t="n">
        <v>46086</v>
      </c>
      <c r="C150" s="62" t="inlineStr">
        <is>
          <t>THIAGO APARECIDO AFONSO DE CARVALHO</t>
        </is>
      </c>
      <c r="D150" s="87" t="inlineStr">
        <is>
          <t>Suhai</t>
        </is>
      </c>
      <c r="E150" s="87" t="inlineStr">
        <is>
          <t>John</t>
        </is>
      </c>
      <c r="F150" s="87" t="n"/>
      <c r="G150" s="87" t="inlineStr">
        <is>
          <t>Assinado</t>
        </is>
      </c>
    </row>
    <row r="151">
      <c r="A151" s="14" t="n">
        <v>46078</v>
      </c>
      <c r="B151" s="14" t="n">
        <v>46086</v>
      </c>
      <c r="C151" s="62" t="inlineStr">
        <is>
          <t>TATIANA ARINI ZARAGOZA</t>
        </is>
      </c>
      <c r="D151" s="87" t="inlineStr">
        <is>
          <t>Porto</t>
        </is>
      </c>
      <c r="E151" s="87" t="inlineStr">
        <is>
          <t>Pamela</t>
        </is>
      </c>
      <c r="F151" s="87" t="n"/>
      <c r="G151" s="87" t="inlineStr">
        <is>
          <t>Assinado</t>
        </is>
      </c>
    </row>
    <row r="152">
      <c r="A152" s="14" t="n">
        <v>46078</v>
      </c>
      <c r="B152" s="14" t="n">
        <v>46086</v>
      </c>
      <c r="C152" s="62" t="inlineStr">
        <is>
          <t>REGINA DA COSTA SALVI</t>
        </is>
      </c>
      <c r="D152" s="87" t="inlineStr">
        <is>
          <t>Azul</t>
        </is>
      </c>
      <c r="E152" s="87" t="inlineStr">
        <is>
          <t>John</t>
        </is>
      </c>
      <c r="F152" s="87" t="n"/>
      <c r="G152" s="87" t="inlineStr">
        <is>
          <t>Cancelado</t>
        </is>
      </c>
      <c r="I152" s="14" t="n">
        <v>46061</v>
      </c>
      <c r="K152" s="14" t="n">
        <v>46092</v>
      </c>
    </row>
    <row r="153">
      <c r="A153" s="14" t="n">
        <v>46078</v>
      </c>
      <c r="B153" s="14" t="n">
        <v>46086</v>
      </c>
      <c r="C153" s="62" t="inlineStr">
        <is>
          <t>KAWAN SANTOS DE JESUS</t>
        </is>
      </c>
      <c r="D153" s="87" t="inlineStr">
        <is>
          <t>Suhai</t>
        </is>
      </c>
      <c r="E153" s="87" t="inlineStr">
        <is>
          <t>Isabella</t>
        </is>
      </c>
      <c r="F153" s="87" t="inlineStr">
        <is>
          <t>Novo</t>
        </is>
      </c>
      <c r="G153" s="87" t="inlineStr">
        <is>
          <t>Cancelado</t>
        </is>
      </c>
      <c r="I153" s="14" t="n">
        <v>46062</v>
      </c>
      <c r="K153" s="14" t="n">
        <v>46093</v>
      </c>
    </row>
    <row r="154">
      <c r="A154" s="14" t="n">
        <v>46078</v>
      </c>
      <c r="B154" s="14" t="n">
        <v>46086</v>
      </c>
      <c r="C154" s="62" t="inlineStr">
        <is>
          <t>FELIPE SILVERIO MONTANHOLI DE ARAUJO</t>
        </is>
      </c>
      <c r="D154" s="87" t="inlineStr">
        <is>
          <t>Suhai</t>
        </is>
      </c>
      <c r="E154" s="87" t="inlineStr">
        <is>
          <t>Isabella</t>
        </is>
      </c>
      <c r="F154" s="87" t="n"/>
      <c r="G154" s="87" t="inlineStr">
        <is>
          <t>Assinado</t>
        </is>
      </c>
    </row>
    <row r="155">
      <c r="A155" s="14" t="n">
        <v>46078</v>
      </c>
      <c r="B155" s="14" t="n">
        <v>46086</v>
      </c>
      <c r="C155" s="87" t="inlineStr">
        <is>
          <t>MARIA INES PEREIRA DE SOUZA</t>
        </is>
      </c>
      <c r="D155" s="87" t="inlineStr">
        <is>
          <t>Azul</t>
        </is>
      </c>
      <c r="E155" s="87" t="inlineStr">
        <is>
          <t>Enzo</t>
        </is>
      </c>
      <c r="F155" s="87" t="n"/>
      <c r="G155" s="87" t="inlineStr">
        <is>
          <t>Assinado</t>
        </is>
      </c>
    </row>
    <row r="156">
      <c r="A156" s="14" t="n">
        <v>46078</v>
      </c>
      <c r="B156" s="14" t="n">
        <v>46086</v>
      </c>
      <c r="C156" s="87" t="inlineStr">
        <is>
          <t>DIEGO HENRIQUE DA SILVA ALVES</t>
        </is>
      </c>
      <c r="D156" s="87" t="inlineStr">
        <is>
          <t>Zurich</t>
        </is>
      </c>
      <c r="E156" s="87" t="inlineStr">
        <is>
          <t>Jacqueline</t>
        </is>
      </c>
      <c r="F156" s="87" t="n"/>
      <c r="G156" s="87" t="inlineStr">
        <is>
          <t>Assinado</t>
        </is>
      </c>
    </row>
    <row r="157">
      <c r="A157" s="14" t="n">
        <v>46078</v>
      </c>
      <c r="B157" s="14" t="n">
        <v>46086</v>
      </c>
      <c r="C157" s="62" t="inlineStr">
        <is>
          <t>PAULO HENRIQUE VITORINO</t>
        </is>
      </c>
      <c r="D157" s="87" t="inlineStr">
        <is>
          <t>Mapfre</t>
        </is>
      </c>
      <c r="E157" s="87" t="inlineStr">
        <is>
          <t>Isabella</t>
        </is>
      </c>
      <c r="F157" s="87" t="n"/>
      <c r="G157" s="87" t="inlineStr">
        <is>
          <t>Assinado</t>
        </is>
      </c>
    </row>
    <row r="158">
      <c r="A158" s="14" t="n">
        <v>46079</v>
      </c>
      <c r="B158" s="14" t="n">
        <v>46087</v>
      </c>
      <c r="C158" s="62" t="inlineStr">
        <is>
          <t>DARIO DE SOUSA CAMPOS</t>
        </is>
      </c>
      <c r="D158" s="87" t="inlineStr">
        <is>
          <t>Tokio</t>
        </is>
      </c>
      <c r="E158" s="87" t="inlineStr">
        <is>
          <t>Leticia</t>
        </is>
      </c>
      <c r="F158" s="87" t="n"/>
      <c r="G158" s="87" t="inlineStr">
        <is>
          <t>Assinado</t>
        </is>
      </c>
    </row>
    <row r="159">
      <c r="A159" s="14" t="n">
        <v>46079</v>
      </c>
      <c r="B159" s="14" t="n">
        <v>46087</v>
      </c>
      <c r="C159" s="62" t="inlineStr">
        <is>
          <t>PATRICIA SILVA DE BRITO</t>
        </is>
      </c>
      <c r="D159" s="87" t="inlineStr">
        <is>
          <t>Azul</t>
        </is>
      </c>
      <c r="E159" s="87" t="inlineStr">
        <is>
          <t>Enzo</t>
        </is>
      </c>
      <c r="F159" s="87" t="n"/>
      <c r="G159" s="87" t="inlineStr">
        <is>
          <t>Cancelado</t>
        </is>
      </c>
      <c r="I159" s="14" t="n">
        <v>46059</v>
      </c>
      <c r="J159" s="14" t="n">
        <v>46062</v>
      </c>
      <c r="K159" s="14" t="n">
        <v>46093</v>
      </c>
    </row>
    <row r="160">
      <c r="A160" s="14" t="n">
        <v>46079</v>
      </c>
      <c r="B160" s="14" t="n">
        <v>46087</v>
      </c>
      <c r="C160" s="87" t="inlineStr">
        <is>
          <t>JOSE ROBERTO AZEVEDO DE JESUS</t>
        </is>
      </c>
      <c r="D160" s="87" t="inlineStr">
        <is>
          <t>Allianz</t>
        </is>
      </c>
      <c r="E160" s="87" t="inlineStr">
        <is>
          <t>John</t>
        </is>
      </c>
      <c r="F160" s="87" t="n"/>
      <c r="G160" s="87" t="inlineStr">
        <is>
          <t>Assinado</t>
        </is>
      </c>
    </row>
    <row r="161">
      <c r="A161" s="14" t="n">
        <v>46079</v>
      </c>
      <c r="B161" s="14" t="n">
        <v>46087</v>
      </c>
      <c r="C161" s="62" t="inlineStr">
        <is>
          <t>MANOEL ANTONIO COUTINHO NETO</t>
        </is>
      </c>
      <c r="D161" s="87" t="inlineStr">
        <is>
          <t>Aliro</t>
        </is>
      </c>
      <c r="E161" s="87" t="inlineStr">
        <is>
          <t>Leticia</t>
        </is>
      </c>
      <c r="F161" s="87" t="n"/>
      <c r="G161" s="87" t="inlineStr">
        <is>
          <t>Assinado</t>
        </is>
      </c>
    </row>
    <row r="162">
      <c r="A162" s="14" t="n">
        <v>46079</v>
      </c>
      <c r="B162" s="14" t="n">
        <v>46087</v>
      </c>
      <c r="C162" s="62" t="inlineStr">
        <is>
          <t>THALITA OLIVEIRA DOS SANTOS</t>
        </is>
      </c>
      <c r="D162" s="87" t="inlineStr">
        <is>
          <t>Tokio</t>
        </is>
      </c>
      <c r="E162" s="87" t="inlineStr">
        <is>
          <t>John</t>
        </is>
      </c>
      <c r="F162" s="87" t="n"/>
      <c r="G162" s="87" t="inlineStr">
        <is>
          <t>Cancelado</t>
        </is>
      </c>
      <c r="I162" s="14" t="n">
        <v>46091</v>
      </c>
      <c r="J162" s="62" t="n"/>
      <c r="K162" s="14" t="n">
        <v>46094</v>
      </c>
    </row>
    <row r="163">
      <c r="A163" s="14" t="n">
        <v>46079</v>
      </c>
      <c r="B163" s="14" t="n">
        <v>46087</v>
      </c>
      <c r="C163" s="62" t="inlineStr">
        <is>
          <t>THALITA OLIVEIRA DOS SANTOS</t>
        </is>
      </c>
      <c r="D163" s="87" t="inlineStr">
        <is>
          <t>Suhai</t>
        </is>
      </c>
      <c r="E163" s="87" t="inlineStr">
        <is>
          <t>John</t>
        </is>
      </c>
      <c r="F163" s="87" t="n"/>
      <c r="G163" s="87" t="inlineStr">
        <is>
          <t>Assinado</t>
        </is>
      </c>
      <c r="I163" s="14" t="n">
        <v>46062</v>
      </c>
      <c r="J163" s="62" t="n"/>
      <c r="K163" s="14" t="n">
        <v>46093</v>
      </c>
    </row>
    <row r="164">
      <c r="A164" s="14" t="n">
        <v>46079</v>
      </c>
      <c r="B164" s="14" t="n">
        <v>46087</v>
      </c>
      <c r="C164" s="62" t="inlineStr">
        <is>
          <t>BEATRIZ RODRIGUES DA SILVA</t>
        </is>
      </c>
      <c r="D164" s="87" t="inlineStr">
        <is>
          <t>Tokio</t>
        </is>
      </c>
      <c r="E164" s="87" t="inlineStr">
        <is>
          <t>Myrelle</t>
        </is>
      </c>
      <c r="F164" s="87" t="inlineStr">
        <is>
          <t>Novo</t>
        </is>
      </c>
      <c r="G164" s="87" t="inlineStr">
        <is>
          <t>Cancelado</t>
        </is>
      </c>
      <c r="I164" s="14" t="n">
        <v>46062</v>
      </c>
      <c r="J164" s="62" t="n"/>
      <c r="K164" s="14" t="n">
        <v>46093</v>
      </c>
    </row>
    <row r="165">
      <c r="A165" s="14" t="n">
        <v>46079</v>
      </c>
      <c r="B165" s="14" t="n">
        <v>46087</v>
      </c>
      <c r="C165" s="62" t="inlineStr">
        <is>
          <t>MAURICIO GOBET UZUN</t>
        </is>
      </c>
      <c r="D165" s="87" t="inlineStr">
        <is>
          <t>Mapfre</t>
        </is>
      </c>
      <c r="E165" s="87" t="inlineStr">
        <is>
          <t>John</t>
        </is>
      </c>
      <c r="F165" s="87" t="inlineStr">
        <is>
          <t>Renovação</t>
        </is>
      </c>
      <c r="G165" s="87" t="inlineStr">
        <is>
          <t>1° reenvio</t>
        </is>
      </c>
      <c r="I165" s="14" t="n">
        <v>46091</v>
      </c>
      <c r="J165" s="62" t="n"/>
      <c r="K165" s="14" t="n">
        <v>46094</v>
      </c>
    </row>
    <row r="166">
      <c r="A166" s="14" t="n">
        <v>46080</v>
      </c>
      <c r="B166" s="14" t="n">
        <v>46088</v>
      </c>
      <c r="C166" s="87" t="inlineStr">
        <is>
          <t>ANTONIO JOSE ALVES DE SOUZA</t>
        </is>
      </c>
      <c r="D166" s="87" t="inlineStr">
        <is>
          <t>Mapfre</t>
        </is>
      </c>
      <c r="E166" s="87" t="inlineStr">
        <is>
          <t>Isabella</t>
        </is>
      </c>
      <c r="F166" s="87" t="n"/>
      <c r="G166" s="87" t="inlineStr">
        <is>
          <t>1° reenvio</t>
        </is>
      </c>
      <c r="I166" s="14" t="n">
        <v>46090</v>
      </c>
      <c r="J166" s="14" t="n">
        <v>46093</v>
      </c>
      <c r="K166" s="14" t="n">
        <v>46096</v>
      </c>
    </row>
    <row r="167">
      <c r="A167" s="14" t="n">
        <v>46080</v>
      </c>
      <c r="B167" s="14" t="n">
        <v>46088</v>
      </c>
      <c r="C167" s="62" t="inlineStr">
        <is>
          <t>JURANDIR ALVES MARTINS</t>
        </is>
      </c>
      <c r="D167" s="87" t="inlineStr">
        <is>
          <t>Azul</t>
        </is>
      </c>
      <c r="E167" s="87" t="inlineStr">
        <is>
          <t>Isabella</t>
        </is>
      </c>
      <c r="F167" s="87" t="n"/>
      <c r="G167" s="87" t="inlineStr">
        <is>
          <t>Assinado</t>
        </is>
      </c>
      <c r="I167" s="62" t="n"/>
      <c r="J167" s="62" t="n"/>
      <c r="K167" s="62" t="n"/>
    </row>
    <row r="168">
      <c r="A168" s="14" t="n">
        <v>46080</v>
      </c>
      <c r="B168" s="14" t="n">
        <v>46088</v>
      </c>
      <c r="C168" s="62" t="inlineStr">
        <is>
          <t>SERGIO RICARDO DE OLIVEIRA MUNIZ</t>
        </is>
      </c>
      <c r="D168" s="87" t="inlineStr">
        <is>
          <t>Azul</t>
        </is>
      </c>
      <c r="E168" s="87" t="inlineStr">
        <is>
          <t>John</t>
        </is>
      </c>
      <c r="F168" s="87" t="n"/>
      <c r="G168" s="87" t="inlineStr">
        <is>
          <t>Assinado</t>
        </is>
      </c>
      <c r="I168" s="62" t="n"/>
      <c r="J168" s="62" t="n"/>
      <c r="K168" s="62" t="n"/>
    </row>
    <row r="169">
      <c r="A169" s="14" t="n">
        <v>46080</v>
      </c>
      <c r="B169" s="14" t="n">
        <v>46088</v>
      </c>
      <c r="C169" s="62" t="inlineStr">
        <is>
          <t>SIDNEY CASCIALLI ROSA</t>
        </is>
      </c>
      <c r="D169" s="87" t="inlineStr">
        <is>
          <t>Azul</t>
        </is>
      </c>
      <c r="E169" s="87" t="inlineStr">
        <is>
          <t>John</t>
        </is>
      </c>
      <c r="F169" s="87" t="n"/>
      <c r="G169" s="87" t="inlineStr">
        <is>
          <t>Assinado</t>
        </is>
      </c>
      <c r="I169" s="14" t="n">
        <v>46090</v>
      </c>
      <c r="J169" s="62" t="n"/>
      <c r="K169" s="62" t="n"/>
    </row>
    <row r="170">
      <c r="A170" s="14" t="n">
        <v>46080</v>
      </c>
      <c r="B170" s="14" t="n">
        <v>46088</v>
      </c>
      <c r="C170" s="62" t="inlineStr">
        <is>
          <t>KATIA REGINA DE OLIVEIRA MUNIZ</t>
        </is>
      </c>
      <c r="D170" s="87" t="inlineStr">
        <is>
          <t>Suhai</t>
        </is>
      </c>
      <c r="E170" s="87" t="inlineStr">
        <is>
          <t>John</t>
        </is>
      </c>
      <c r="F170" s="87" t="n"/>
      <c r="G170" s="87" t="inlineStr">
        <is>
          <t>Assinado</t>
        </is>
      </c>
      <c r="I170" s="62" t="n"/>
      <c r="J170" s="62" t="n"/>
      <c r="K170" s="62" t="n"/>
    </row>
    <row r="171">
      <c r="A171" s="14" t="n">
        <v>46080</v>
      </c>
      <c r="B171" s="14" t="n">
        <v>46088</v>
      </c>
      <c r="C171" s="62" t="inlineStr">
        <is>
          <t>FELIPE PATRICIO DA SILVA</t>
        </is>
      </c>
      <c r="D171" s="87" t="inlineStr">
        <is>
          <t>Azul</t>
        </is>
      </c>
      <c r="E171" s="87" t="inlineStr">
        <is>
          <t>John</t>
        </is>
      </c>
      <c r="F171" s="87" t="n"/>
      <c r="G171" s="87" t="inlineStr">
        <is>
          <t>Assinado</t>
        </is>
      </c>
      <c r="I171" s="62" t="n"/>
      <c r="J171" s="62" t="n"/>
      <c r="K171" s="62" t="n"/>
    </row>
    <row r="172">
      <c r="A172" s="14" t="n">
        <v>46080</v>
      </c>
      <c r="B172" s="14" t="n">
        <v>46088</v>
      </c>
      <c r="C172" s="62" t="inlineStr">
        <is>
          <t>FELIPE PATRICIO DA SILVA (endosso)</t>
        </is>
      </c>
      <c r="D172" s="87" t="inlineStr">
        <is>
          <t>Azul</t>
        </is>
      </c>
      <c r="E172" s="87" t="inlineStr">
        <is>
          <t>John</t>
        </is>
      </c>
      <c r="F172" s="87" t="n"/>
      <c r="G172" s="87" t="inlineStr">
        <is>
          <t>Assinado</t>
        </is>
      </c>
      <c r="I172" s="62" t="n"/>
      <c r="J172" s="62" t="n"/>
      <c r="K172" s="62" t="n"/>
    </row>
    <row r="173">
      <c r="A173" s="14" t="n">
        <v>46080</v>
      </c>
      <c r="B173" s="14" t="n">
        <v>46088</v>
      </c>
      <c r="C173" s="62" t="inlineStr">
        <is>
          <t>ELDER FRANCISCO MARTINS</t>
        </is>
      </c>
      <c r="D173" s="87" t="inlineStr">
        <is>
          <t>Tokio</t>
        </is>
      </c>
      <c r="E173" s="87" t="inlineStr">
        <is>
          <t>Jacqueline</t>
        </is>
      </c>
      <c r="F173" s="87" t="n"/>
      <c r="G173" s="87" t="inlineStr">
        <is>
          <t>Consultor em contato</t>
        </is>
      </c>
      <c r="I173" s="14" t="n">
        <v>46243</v>
      </c>
      <c r="J173" s="14" t="n">
        <v>46093</v>
      </c>
      <c r="K173" s="14" t="n">
        <v>46096</v>
      </c>
    </row>
    <row r="174">
      <c r="A174" s="14" t="n">
        <v>46080</v>
      </c>
      <c r="B174" s="14" t="n">
        <v>46088</v>
      </c>
      <c r="C174" s="62" t="inlineStr">
        <is>
          <t>EVANALDO SOARES DE MATOS</t>
        </is>
      </c>
      <c r="D174" s="87" t="inlineStr">
        <is>
          <t>Azul</t>
        </is>
      </c>
      <c r="E174" s="87" t="inlineStr">
        <is>
          <t>Leticia</t>
        </is>
      </c>
      <c r="F174" s="87" t="n"/>
      <c r="G174" s="87" t="inlineStr">
        <is>
          <t>Assinado</t>
        </is>
      </c>
      <c r="I174" s="62" t="n"/>
      <c r="J174" s="62" t="n"/>
      <c r="K174" s="62" t="n"/>
    </row>
    <row r="175">
      <c r="A175" s="14" t="n">
        <v>46080</v>
      </c>
      <c r="B175" s="14" t="n">
        <v>46088</v>
      </c>
      <c r="C175" s="62" t="inlineStr">
        <is>
          <t>JEFFERSON CAMARGO JUNIOR ME</t>
        </is>
      </c>
      <c r="D175" s="87" t="inlineStr">
        <is>
          <t>Porto</t>
        </is>
      </c>
      <c r="E175" s="87" t="inlineStr">
        <is>
          <t>John</t>
        </is>
      </c>
      <c r="F175" s="87" t="n"/>
      <c r="G175" s="87" t="inlineStr">
        <is>
          <t>Assinado</t>
        </is>
      </c>
      <c r="I175" s="62" t="n"/>
      <c r="J175" s="62" t="n"/>
      <c r="K175" s="62" t="n"/>
    </row>
    <row r="176">
      <c r="A176" s="14" t="n">
        <v>46080</v>
      </c>
      <c r="B176" s="14" t="n">
        <v>46088</v>
      </c>
      <c r="C176" s="62" t="inlineStr">
        <is>
          <t>SILVANO BARBOSA DOS SANTOS</t>
        </is>
      </c>
      <c r="D176" s="87" t="inlineStr">
        <is>
          <t>Azul</t>
        </is>
      </c>
      <c r="E176" s="87" t="inlineStr">
        <is>
          <t>Jacqueline</t>
        </is>
      </c>
      <c r="F176" s="87" t="n"/>
      <c r="G176" s="87" t="inlineStr">
        <is>
          <t>Consultor em contato</t>
        </is>
      </c>
      <c r="I176" s="14" t="n">
        <v>46243</v>
      </c>
      <c r="J176" s="14" t="n">
        <v>46093</v>
      </c>
      <c r="K176" s="14" t="n">
        <v>46096</v>
      </c>
    </row>
    <row r="177" ht="14.25" customHeight="1" s="83"/>
    <row r="179">
      <c r="C179" s="54" t="inlineStr"/>
      <c r="K179" s="19" t="inlineStr"/>
    </row>
  </sheetData>
  <conditionalFormatting sqref="H10">
    <cfRule type="cellIs" priority="34" operator="equal" dxfId="0">
      <formula>"Pendente"</formula>
    </cfRule>
  </conditionalFormatting>
  <conditionalFormatting sqref="G2:G180">
    <cfRule type="cellIs" priority="32" operator="equal" dxfId="7">
      <formula>"Assinado"</formula>
    </cfRule>
    <cfRule type="cellIs" priority="33" operator="equal" dxfId="4">
      <formula>"Pendente"</formula>
    </cfRule>
  </conditionalFormatting>
  <conditionalFormatting sqref="G1:G1048576 I1:K1">
    <cfRule type="cellIs" priority="12" operator="equal" dxfId="1">
      <formula>"Consultor em contato"</formula>
    </cfRule>
    <cfRule type="cellIs" priority="13" operator="equal" dxfId="1">
      <formula>"1° reenvio"</formula>
    </cfRule>
    <cfRule type="cellIs" priority="15" operator="equal" dxfId="0">
      <formula>"Cancelado"</formula>
    </cfRule>
    <cfRule type="cellIs" priority="21" operator="equal" dxfId="7">
      <formula>"Assinado(manual)"</formula>
    </cfRule>
  </conditionalFormatting>
  <conditionalFormatting sqref="D1:D1048576">
    <cfRule type="cellIs" priority="16" operator="equal" dxfId="6">
      <formula>"Tokio"</formula>
    </cfRule>
  </conditionalFormatting>
  <conditionalFormatting sqref="G2:G176">
    <cfRule type="cellIs" priority="1" operator="equal" dxfId="1">
      <formula>"Envio e-mail"</formula>
    </cfRule>
    <cfRule type="cellIs" priority="6" operator="equal" dxfId="1">
      <formula>"2° reenvio"</formula>
    </cfRule>
    <cfRule type="cellIs" priority="11" operator="equal" dxfId="4">
      <formula>"Pendente (manual)"</formula>
    </cfRule>
  </conditionalFormatting>
  <dataValidations count="3">
    <dataValidation sqref="E1:E1048576" showDropDown="0" showInputMessage="1" showErrorMessage="1" allowBlank="1" type="list">
      <formula1>INDIRECT("Tabela5[consultores]")</formula1>
    </dataValidation>
    <dataValidation sqref="G1:G1048576" showDropDown="0" showInputMessage="1" showErrorMessage="1" allowBlank="1" type="list">
      <formula1>INDIRECT("Tabela6[status]")</formula1>
    </dataValidation>
    <dataValidation sqref="D1:D1048576" showDropDown="0" showInputMessage="1" showErrorMessage="1" allowBlank="1" type="list">
      <formula1>INDIRECT("Tabela1[Seguradoras]")</formula1>
    </dataValidation>
  </dataValidations>
  <pageMargins left="0.511811024" right="0.511811024" top="0.787401575" bottom="0.787401575" header="0.31496062" footer="0.31496062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Plan3">
    <outlinePr summaryBelow="1" summaryRight="1"/>
    <pageSetUpPr/>
  </sheetPr>
  <dimension ref="A1:W238"/>
  <sheetViews>
    <sheetView topLeftCell="A218" workbookViewId="0">
      <selection activeCell="G238" sqref="G238"/>
    </sheetView>
  </sheetViews>
  <sheetFormatPr baseColWidth="8" defaultRowHeight="15"/>
  <cols>
    <col width="14.140625" customWidth="1" style="62" min="1" max="1"/>
    <col width="17" customWidth="1" style="62" min="2" max="3"/>
    <col width="45.7109375" bestFit="1" customWidth="1" style="87" min="4" max="4"/>
    <col width="17" customWidth="1" style="87" min="5" max="5"/>
    <col width="15.85546875" customWidth="1" style="87" min="6" max="6"/>
    <col width="12.42578125" customWidth="1" style="87" min="7" max="7"/>
    <col width="18.28515625" customWidth="1" style="87" min="8" max="8"/>
    <col width="14.140625" bestFit="1" customWidth="1" style="62" min="9" max="9"/>
    <col width="9.140625" customWidth="1" style="83" min="10" max="10"/>
    <col width="18.140625" bestFit="1" customWidth="1" style="83" min="11" max="11"/>
    <col width="20.42578125" bestFit="1" customWidth="1" style="87" min="12" max="12"/>
    <col width="19" customWidth="1" style="62" min="13" max="13"/>
    <col width="14.140625" bestFit="1" customWidth="1" style="83" min="14" max="14"/>
    <col width="15.28515625" bestFit="1" customWidth="1" style="83" min="15" max="15"/>
    <col width="14" bestFit="1" customWidth="1" style="83" min="16" max="16"/>
    <col width="11.140625" bestFit="1" customWidth="1" style="83" min="17" max="17"/>
    <col width="9.140625" customWidth="1" style="83" min="18" max="18"/>
    <col width="9.140625" customWidth="1" style="83" min="19" max="19"/>
    <col width="9.140625" customWidth="1" style="83" min="20" max="21"/>
    <col width="10.85546875" bestFit="1" customWidth="1" style="87" min="22" max="22"/>
    <col width="11.140625" bestFit="1" customWidth="1" style="87" min="23" max="23"/>
    <col width="9.140625" customWidth="1" style="83" min="24" max="16384"/>
  </cols>
  <sheetData>
    <row r="1" ht="15.75" customHeight="1" s="83" thickBot="1">
      <c r="A1" s="2" t="inlineStr">
        <is>
          <t>1° envio</t>
        </is>
      </c>
      <c r="B1" s="2" t="inlineStr">
        <is>
          <t>2° envio</t>
        </is>
      </c>
      <c r="C1" s="2" t="inlineStr">
        <is>
          <t>e-mail</t>
        </is>
      </c>
      <c r="D1" s="2" t="inlineStr">
        <is>
          <t>Nome do cliente</t>
        </is>
      </c>
      <c r="E1" s="2" t="inlineStr">
        <is>
          <t>Seguradora</t>
        </is>
      </c>
      <c r="F1" s="2" t="inlineStr">
        <is>
          <t>Consultor</t>
        </is>
      </c>
      <c r="G1" s="2" t="inlineStr">
        <is>
          <t>Tipo</t>
        </is>
      </c>
      <c r="H1" s="2" t="inlineStr">
        <is>
          <t>Status</t>
        </is>
      </c>
      <c r="I1" s="12" t="inlineStr">
        <is>
          <t>Planilha</t>
        </is>
      </c>
    </row>
    <row r="2" ht="15.75" customHeight="1" s="83" thickTop="1">
      <c r="A2" s="14" t="n">
        <v>46083</v>
      </c>
      <c r="B2" s="14" t="n">
        <v>46086</v>
      </c>
      <c r="C2" s="14" t="n">
        <v>46090</v>
      </c>
      <c r="D2" s="87" t="inlineStr">
        <is>
          <t>ADAO VAN RANDOW SETTE</t>
        </is>
      </c>
      <c r="E2" s="87" t="inlineStr">
        <is>
          <t>Azul</t>
        </is>
      </c>
      <c r="F2" s="87" t="inlineStr">
        <is>
          <t>Enzo</t>
        </is>
      </c>
      <c r="G2" s="87" t="inlineStr">
        <is>
          <t xml:space="preserve">Novo </t>
        </is>
      </c>
      <c r="H2" s="87" t="inlineStr">
        <is>
          <t>Assinado(manual)</t>
        </is>
      </c>
      <c r="I2" s="14" t="n">
        <v>46094</v>
      </c>
      <c r="L2" s="91" t="inlineStr">
        <is>
          <t>Relatório de não conversão (assinatura)</t>
        </is>
      </c>
      <c r="M2" s="92" t="n"/>
      <c r="O2" s="45" t="inlineStr">
        <is>
          <t xml:space="preserve">Por consultores </t>
        </is>
      </c>
      <c r="P2" s="46" t="inlineStr">
        <is>
          <t>Não assinaram</t>
        </is>
      </c>
      <c r="Q2" s="46" t="inlineStr">
        <is>
          <t>Assinaram</t>
        </is>
      </c>
      <c r="R2" s="47" t="inlineStr">
        <is>
          <t>(%)</t>
        </is>
      </c>
      <c r="V2" s="87" t="n"/>
      <c r="W2" s="87" t="n"/>
    </row>
    <row r="3" s="83">
      <c r="A3" s="14" t="n">
        <v>46083</v>
      </c>
      <c r="B3" s="14" t="n">
        <v>46086</v>
      </c>
      <c r="C3" s="14" t="n">
        <v>46090</v>
      </c>
      <c r="D3" s="87" t="inlineStr">
        <is>
          <t>IRINEU NOGUEIRA JUNIOR</t>
        </is>
      </c>
      <c r="E3" s="87" t="inlineStr">
        <is>
          <t>Zurich</t>
        </is>
      </c>
      <c r="F3" s="87" t="inlineStr">
        <is>
          <t>Enzo</t>
        </is>
      </c>
      <c r="G3" s="87" t="inlineStr">
        <is>
          <t xml:space="preserve">Novo </t>
        </is>
      </c>
      <c r="H3" s="87" t="inlineStr">
        <is>
          <t>Cancelado</t>
        </is>
      </c>
      <c r="I3" s="14" t="n">
        <v>46094</v>
      </c>
      <c r="L3" s="28" t="inlineStr">
        <is>
          <t xml:space="preserve"> Total de clientes</t>
        </is>
      </c>
      <c r="M3" s="33">
        <f>COUNTA(D2:D996)</f>
        <v/>
      </c>
      <c r="O3" s="28" t="inlineStr">
        <is>
          <t>Enzo</t>
        </is>
      </c>
      <c r="P3" s="41">
        <f>COUNTIFS(F2:F298,"Enzo",H2:H298,"Na planilha")</f>
        <v/>
      </c>
      <c r="Q3" s="41">
        <f>COUNTIFS(F2:F298,"Enzo",H2:H298,"Assinado") + COUNTIFS(F2:F298,"Enzo",H2:H298, "Assinado(manual)")</f>
        <v/>
      </c>
      <c r="R3" s="49">
        <f>P3/Q3</f>
        <v/>
      </c>
      <c r="V3" s="87" t="n"/>
      <c r="W3" s="87" t="n"/>
    </row>
    <row r="4" s="83">
      <c r="A4" s="14" t="n">
        <v>46083</v>
      </c>
      <c r="B4" s="14" t="n">
        <v>46086</v>
      </c>
      <c r="C4" s="14" t="n">
        <v>46090</v>
      </c>
      <c r="D4" s="87" t="inlineStr">
        <is>
          <t>JULIANO APARECIDO DE ABREU</t>
        </is>
      </c>
      <c r="E4" s="87" t="inlineStr">
        <is>
          <t>Suhai</t>
        </is>
      </c>
      <c r="F4" s="87" t="inlineStr">
        <is>
          <t>Enzo</t>
        </is>
      </c>
      <c r="G4" s="87" t="inlineStr">
        <is>
          <t xml:space="preserve">Novo </t>
        </is>
      </c>
      <c r="H4" s="87" t="inlineStr">
        <is>
          <t>Na planilha</t>
        </is>
      </c>
      <c r="I4" s="14" t="n">
        <v>46094</v>
      </c>
      <c r="L4" s="26" t="inlineStr">
        <is>
          <t>Não assinaram</t>
        </is>
      </c>
      <c r="M4" s="33">
        <f>COUNTIF(H2:H996,"Na planilha")</f>
        <v/>
      </c>
      <c r="O4" s="28" t="inlineStr">
        <is>
          <t>Isabella</t>
        </is>
      </c>
      <c r="P4" s="41">
        <f>COUNTIFS(F2:F298,"Isabella",H2:H298,"Na planilha")</f>
        <v/>
      </c>
      <c r="Q4" s="41">
        <f>COUNTIFS(F2:F298,"Isabella",H2:H298,"Assinado") + COUNTIFS(F2:F298,"Isabella",H2:H298, "Assinado(manual)")</f>
        <v/>
      </c>
      <c r="R4" s="49">
        <f>P4/Q4</f>
        <v/>
      </c>
      <c r="V4" s="87" t="n"/>
      <c r="W4" s="87" t="n"/>
    </row>
    <row r="5" ht="15.75" customHeight="1" s="83" thickBot="1">
      <c r="A5" s="14" t="n">
        <v>46083</v>
      </c>
      <c r="B5" s="14" t="n">
        <v>46086</v>
      </c>
      <c r="C5" s="14" t="n">
        <v>46090</v>
      </c>
      <c r="D5" s="87" t="inlineStr">
        <is>
          <t>MANOEL JOAO DIAS</t>
        </is>
      </c>
      <c r="E5" s="87" t="inlineStr">
        <is>
          <t>Suhai</t>
        </is>
      </c>
      <c r="F5" s="87" t="inlineStr">
        <is>
          <t>John</t>
        </is>
      </c>
      <c r="G5" s="87" t="inlineStr">
        <is>
          <t xml:space="preserve">Novo </t>
        </is>
      </c>
      <c r="H5" s="87" t="inlineStr">
        <is>
          <t>Assinado(manual)</t>
        </is>
      </c>
      <c r="I5" s="14" t="n">
        <v>46094</v>
      </c>
      <c r="L5" s="27" t="inlineStr">
        <is>
          <t>Taxa (%)</t>
        </is>
      </c>
      <c r="M5" s="23">
        <f>M4/M3</f>
        <v/>
      </c>
      <c r="O5" s="28" t="inlineStr">
        <is>
          <t>Jacqueline</t>
        </is>
      </c>
      <c r="P5" s="41">
        <f>COUNTIFS(F2:F298,"Jacqueline",H2:H298,"Na planilha")</f>
        <v/>
      </c>
      <c r="Q5" s="41">
        <f>COUNTIFS(F2:F298,"Jacqueline",H2:H298,"Assinado") + COUNTIFS(F2:F298,"Jacqueline",H2:H298, "Assinado(manual)")</f>
        <v/>
      </c>
      <c r="R5" s="49">
        <f>P5/Q5</f>
        <v/>
      </c>
    </row>
    <row r="6" s="83">
      <c r="A6" s="14" t="n">
        <v>46083</v>
      </c>
      <c r="B6" s="14" t="n">
        <v>46086</v>
      </c>
      <c r="C6" s="14" t="n">
        <v>46090</v>
      </c>
      <c r="D6" s="87" t="inlineStr">
        <is>
          <t>MANOEL JOAO DIAS</t>
        </is>
      </c>
      <c r="E6" s="87" t="inlineStr">
        <is>
          <t>Azul</t>
        </is>
      </c>
      <c r="F6" s="87" t="inlineStr">
        <is>
          <t>John</t>
        </is>
      </c>
      <c r="G6" s="87" t="inlineStr">
        <is>
          <t xml:space="preserve">Novo </t>
        </is>
      </c>
      <c r="H6" s="87" t="inlineStr">
        <is>
          <t>Assinado(manual)</t>
        </is>
      </c>
      <c r="I6" s="60" t="n">
        <v>46094</v>
      </c>
      <c r="L6" s="87" t="n"/>
      <c r="M6" s="62" t="n"/>
      <c r="O6" s="28" t="inlineStr">
        <is>
          <t>Jéssica</t>
        </is>
      </c>
      <c r="P6" s="41">
        <f>COUNTIFS(F2:F298,"Jéssica",H2:H298,"Na planilha")</f>
        <v/>
      </c>
      <c r="Q6" s="41">
        <f>COUNTIFS(F2:F298,"Jéssica",H2:H298,"Assinado") + COUNTIFS(F2:F298,"Jéssica",H2:H298, "Assinado(manual)")</f>
        <v/>
      </c>
      <c r="R6" s="49">
        <f>P6/Q6</f>
        <v/>
      </c>
    </row>
    <row r="7" customFormat="1" s="21">
      <c r="A7" s="60" t="n">
        <v>46083</v>
      </c>
      <c r="B7" s="60" t="n">
        <v>46086</v>
      </c>
      <c r="C7" s="60" t="n">
        <v>46090</v>
      </c>
      <c r="D7" s="87" t="inlineStr">
        <is>
          <t>ERIC FERNANDO MONTEIRO DA SILVA</t>
        </is>
      </c>
      <c r="E7" s="87" t="inlineStr">
        <is>
          <t>Suhai</t>
        </is>
      </c>
      <c r="F7" s="87" t="inlineStr">
        <is>
          <t>Jéssica</t>
        </is>
      </c>
      <c r="G7" s="87" t="inlineStr">
        <is>
          <t xml:space="preserve">Novo </t>
        </is>
      </c>
      <c r="H7" s="87" t="inlineStr">
        <is>
          <t>Assinado(manual)</t>
        </is>
      </c>
      <c r="I7" s="14" t="n">
        <v>46094</v>
      </c>
      <c r="L7" s="87" t="n"/>
      <c r="M7" s="87" t="n"/>
      <c r="O7" s="28" t="inlineStr">
        <is>
          <t>John</t>
        </is>
      </c>
      <c r="P7" s="41">
        <f>COUNTIFS(F2:F298,"John",H2:H298,"Na planilha")</f>
        <v/>
      </c>
      <c r="Q7" s="41">
        <f>COUNTIFS(F2:F298,"John",H2:H298,"Assinado") + COUNTIFS(F2:F298,"John",H2:H298, "Assinado(manual)")</f>
        <v/>
      </c>
      <c r="R7" s="49">
        <f>P7/Q7</f>
        <v/>
      </c>
    </row>
    <row r="8" s="83">
      <c r="A8" s="14" t="n">
        <v>46083</v>
      </c>
      <c r="B8" s="14" t="n">
        <v>46086</v>
      </c>
      <c r="C8" s="14" t="n">
        <v>46090</v>
      </c>
      <c r="D8" s="87" t="inlineStr">
        <is>
          <t>GERALDO RIBEIRO SILVERIO</t>
        </is>
      </c>
      <c r="E8" s="87" t="inlineStr">
        <is>
          <t>Porto</t>
        </is>
      </c>
      <c r="F8" s="87" t="inlineStr">
        <is>
          <t>John</t>
        </is>
      </c>
      <c r="G8" s="87" t="inlineStr">
        <is>
          <t xml:space="preserve">Novo </t>
        </is>
      </c>
      <c r="H8" s="87" t="inlineStr">
        <is>
          <t>Na planilha</t>
        </is>
      </c>
      <c r="I8" s="14" t="n">
        <v>46094</v>
      </c>
      <c r="L8" s="87" t="inlineStr">
        <is>
          <t>status</t>
        </is>
      </c>
      <c r="M8" s="62" t="inlineStr">
        <is>
          <t>quantidade</t>
        </is>
      </c>
      <c r="O8" s="28" t="inlineStr">
        <is>
          <t>Myrelle</t>
        </is>
      </c>
      <c r="P8" s="41">
        <f>COUNTIFS(F2:F298,"Myrelle",H2:H298,"Na planilha")</f>
        <v/>
      </c>
      <c r="Q8" s="41">
        <f>COUNTIFS(F2:F298,"Myrelle",H2:H298,"Assinado") + COUNTIFS(F2:F298,"Myrelle",H2:H298, "Assinado(manual)")</f>
        <v/>
      </c>
      <c r="R8" s="49">
        <f>P8/Q8</f>
        <v/>
      </c>
    </row>
    <row r="9" ht="15.75" customHeight="1" s="83" thickBot="1">
      <c r="A9" s="14" t="n">
        <v>46083</v>
      </c>
      <c r="B9" s="14" t="n">
        <v>46086</v>
      </c>
      <c r="C9" s="14" t="n">
        <v>46090</v>
      </c>
      <c r="D9" s="87" t="inlineStr">
        <is>
          <t>NEURI BORGES DE SOUZA</t>
        </is>
      </c>
      <c r="E9" s="87" t="inlineStr">
        <is>
          <t>Azul</t>
        </is>
      </c>
      <c r="F9" s="87" t="inlineStr">
        <is>
          <t>John</t>
        </is>
      </c>
      <c r="G9" s="87" t="inlineStr">
        <is>
          <t xml:space="preserve">Novo </t>
        </is>
      </c>
      <c r="H9" s="87" t="inlineStr">
        <is>
          <t>Assinado</t>
        </is>
      </c>
      <c r="I9" s="14" t="n">
        <v>46094</v>
      </c>
      <c r="L9" s="87" t="inlineStr">
        <is>
          <t>assinaram</t>
        </is>
      </c>
      <c r="M9" s="62">
        <f>M3-M4</f>
        <v/>
      </c>
      <c r="O9" s="50" t="inlineStr">
        <is>
          <t>Leticia</t>
        </is>
      </c>
      <c r="P9" s="51">
        <f>COUNTIFS(F2:F298,"Leticia",H2:H298,"Na planilha")</f>
        <v/>
      </c>
      <c r="Q9" s="51">
        <f>COUNTIFS(F2:F298,"Leticia",H2:H298,"Assinado") + COUNTIFS(F2:F298,"Leticia",H2:H298, "Assinado(manual)")</f>
        <v/>
      </c>
      <c r="R9" s="52">
        <f>P9/Q9</f>
        <v/>
      </c>
    </row>
    <row r="10">
      <c r="A10" s="14" t="n">
        <v>46084</v>
      </c>
      <c r="B10" s="14" t="n">
        <v>46087</v>
      </c>
      <c r="C10" s="14" t="n">
        <v>46090</v>
      </c>
      <c r="D10" s="87" t="inlineStr">
        <is>
          <t>LEONARDO RYAN ALVES DE MENEZES</t>
        </is>
      </c>
      <c r="E10" s="87" t="inlineStr">
        <is>
          <t>Bradesco</t>
        </is>
      </c>
      <c r="F10" s="87" t="inlineStr">
        <is>
          <t>John</t>
        </is>
      </c>
      <c r="G10" s="87" t="inlineStr">
        <is>
          <t xml:space="preserve">Novo </t>
        </is>
      </c>
      <c r="H10" s="87" t="inlineStr">
        <is>
          <t>Assinado</t>
        </is>
      </c>
      <c r="I10" s="14" t="n">
        <v>46094</v>
      </c>
      <c r="L10" s="87" t="inlineStr">
        <is>
          <t xml:space="preserve">não assinaram </t>
        </is>
      </c>
      <c r="M10" s="62">
        <f>M4</f>
        <v/>
      </c>
    </row>
    <row r="11" s="83">
      <c r="A11" s="14" t="n">
        <v>46084</v>
      </c>
      <c r="B11" s="14" t="n">
        <v>46087</v>
      </c>
      <c r="C11" s="14" t="n">
        <v>46090</v>
      </c>
      <c r="D11" s="87" t="inlineStr">
        <is>
          <t>JOSE GERALDO BARBOSA DE JESUS</t>
        </is>
      </c>
      <c r="E11" s="87" t="inlineStr">
        <is>
          <t>Porto</t>
        </is>
      </c>
      <c r="F11" s="87" t="inlineStr">
        <is>
          <t>John</t>
        </is>
      </c>
      <c r="G11" s="87" t="inlineStr">
        <is>
          <t xml:space="preserve">Novo </t>
        </is>
      </c>
      <c r="H11" s="87" t="inlineStr">
        <is>
          <t>Assinado</t>
        </is>
      </c>
      <c r="I11" s="14" t="n">
        <v>46094</v>
      </c>
      <c r="L11" s="87" t="n"/>
      <c r="M11" s="62" t="n"/>
    </row>
    <row r="12">
      <c r="A12" s="14" t="n">
        <v>46084</v>
      </c>
      <c r="B12" s="14" t="n">
        <v>46087</v>
      </c>
      <c r="C12" s="14" t="n">
        <v>46090</v>
      </c>
      <c r="D12" s="87" t="inlineStr">
        <is>
          <t>WILSON FONSECA LEMOS</t>
        </is>
      </c>
      <c r="E12" s="87" t="inlineStr">
        <is>
          <t>Suhai</t>
        </is>
      </c>
      <c r="F12" s="87" t="inlineStr">
        <is>
          <t>John</t>
        </is>
      </c>
      <c r="G12" s="87" t="inlineStr">
        <is>
          <t xml:space="preserve">Novo </t>
        </is>
      </c>
      <c r="H12" s="87" t="inlineStr">
        <is>
          <t>Assinado</t>
        </is>
      </c>
      <c r="I12" s="14" t="n">
        <v>46094</v>
      </c>
    </row>
    <row r="13" ht="15" customHeight="1" s="83">
      <c r="A13" s="14" t="n">
        <v>46084</v>
      </c>
      <c r="B13" s="14" t="n">
        <v>46087</v>
      </c>
      <c r="C13" s="14" t="n">
        <v>46090</v>
      </c>
      <c r="D13" s="87" t="inlineStr">
        <is>
          <t>PAULO SERGIO ALVES AZEVEDO</t>
        </is>
      </c>
      <c r="E13" s="87" t="inlineStr">
        <is>
          <t>Tokio</t>
        </is>
      </c>
      <c r="F13" s="87" t="inlineStr">
        <is>
          <t>John</t>
        </is>
      </c>
      <c r="G13" s="87" t="inlineStr">
        <is>
          <t>Renovação</t>
        </is>
      </c>
      <c r="H13" s="87" t="inlineStr">
        <is>
          <t>Na planilha</t>
        </is>
      </c>
      <c r="I13" s="14" t="n">
        <v>46094</v>
      </c>
      <c r="L13" s="87" t="n"/>
      <c r="M13" s="62" t="n"/>
    </row>
    <row r="14" ht="15" customHeight="1" s="83">
      <c r="A14" s="14" t="n">
        <v>46084</v>
      </c>
      <c r="B14" s="14" t="n">
        <v>46087</v>
      </c>
      <c r="C14" s="14" t="n">
        <v>46090</v>
      </c>
      <c r="D14" s="87" t="inlineStr">
        <is>
          <t>EMERSON VIEIRA DA SILVA</t>
        </is>
      </c>
      <c r="E14" s="87" t="inlineStr">
        <is>
          <t>Bradesco</t>
        </is>
      </c>
      <c r="F14" s="87" t="inlineStr">
        <is>
          <t>John</t>
        </is>
      </c>
      <c r="G14" s="87" t="inlineStr">
        <is>
          <t>Renovação</t>
        </is>
      </c>
      <c r="H14" s="87" t="inlineStr">
        <is>
          <t>Assinado</t>
        </is>
      </c>
      <c r="I14" s="14" t="n">
        <v>46094</v>
      </c>
    </row>
    <row r="15">
      <c r="A15" s="14" t="n">
        <v>46084</v>
      </c>
      <c r="B15" s="14" t="n">
        <v>46087</v>
      </c>
      <c r="C15" s="14" t="n">
        <v>46090</v>
      </c>
      <c r="D15" s="87" t="inlineStr">
        <is>
          <t>RAIMUNDO DE PAULA FILHO</t>
        </is>
      </c>
      <c r="E15" s="87" t="inlineStr">
        <is>
          <t>Tokio</t>
        </is>
      </c>
      <c r="F15" s="87" t="inlineStr">
        <is>
          <t>John</t>
        </is>
      </c>
      <c r="G15" s="87" t="inlineStr">
        <is>
          <t xml:space="preserve">Novo </t>
        </is>
      </c>
      <c r="H15" s="87" t="inlineStr">
        <is>
          <t>Assinado</t>
        </is>
      </c>
      <c r="I15" s="14" t="n">
        <v>46094</v>
      </c>
    </row>
    <row r="16" ht="15.75" customHeight="1" s="83" thickBot="1">
      <c r="A16" s="14" t="n">
        <v>46084</v>
      </c>
      <c r="B16" s="14" t="n">
        <v>46087</v>
      </c>
      <c r="C16" s="14" t="n">
        <v>46090</v>
      </c>
      <c r="D16" s="87" t="inlineStr">
        <is>
          <t>WILSON RAMOS</t>
        </is>
      </c>
      <c r="E16" s="87" t="inlineStr">
        <is>
          <t>Tokio</t>
        </is>
      </c>
      <c r="F16" s="87" t="inlineStr">
        <is>
          <t>Leticia</t>
        </is>
      </c>
      <c r="G16" s="87" t="inlineStr">
        <is>
          <t xml:space="preserve">Novo </t>
        </is>
      </c>
      <c r="H16" s="87" t="inlineStr">
        <is>
          <t>Na planilha</t>
        </is>
      </c>
      <c r="I16" s="14" t="n">
        <v>46094</v>
      </c>
      <c r="L16" s="87" t="n"/>
      <c r="M16" s="62" t="n"/>
    </row>
    <row r="17" s="83">
      <c r="A17" s="14" t="n">
        <v>46084</v>
      </c>
      <c r="B17" s="14" t="n">
        <v>46087</v>
      </c>
      <c r="C17" s="14" t="n">
        <v>46090</v>
      </c>
      <c r="D17" s="87" t="inlineStr">
        <is>
          <t>ANDERSON PERES DE OLIVEIRA</t>
        </is>
      </c>
      <c r="E17" s="87" t="inlineStr">
        <is>
          <t>Tokio</t>
        </is>
      </c>
      <c r="F17" s="87" t="inlineStr">
        <is>
          <t>Enzo</t>
        </is>
      </c>
      <c r="G17" s="87" t="inlineStr">
        <is>
          <t xml:space="preserve">Novo </t>
        </is>
      </c>
      <c r="H17" s="87" t="inlineStr">
        <is>
          <t>Assinado</t>
        </is>
      </c>
      <c r="I17" s="14" t="n">
        <v>46094</v>
      </c>
      <c r="L17" s="91" t="inlineStr">
        <is>
          <t>Relatório de clientes Tókio</t>
        </is>
      </c>
      <c r="M17" s="92" t="n"/>
    </row>
    <row r="18">
      <c r="A18" s="14" t="n">
        <v>46084</v>
      </c>
      <c r="B18" s="14" t="n">
        <v>46087</v>
      </c>
      <c r="C18" s="14" t="n">
        <v>46090</v>
      </c>
      <c r="D18" s="87" t="inlineStr">
        <is>
          <t>LUIS CARLOS SOARES PACHECO</t>
        </is>
      </c>
      <c r="E18" s="87" t="inlineStr">
        <is>
          <t>Suhai</t>
        </is>
      </c>
      <c r="F18" s="87" t="inlineStr">
        <is>
          <t>Jacqueline</t>
        </is>
      </c>
      <c r="G18" s="87" t="inlineStr">
        <is>
          <t xml:space="preserve">Novo </t>
        </is>
      </c>
      <c r="H18" s="87" t="inlineStr">
        <is>
          <t>Assinado</t>
        </is>
      </c>
      <c r="I18" s="14" t="n">
        <v>46094</v>
      </c>
      <c r="L18" s="28" t="inlineStr">
        <is>
          <t>Cliente Tókio</t>
        </is>
      </c>
      <c r="M18" s="33">
        <f>COUNTIF(E2:E999,"Tokio")</f>
        <v/>
      </c>
    </row>
    <row r="19">
      <c r="A19" s="14" t="n">
        <v>46084</v>
      </c>
      <c r="B19" s="14" t="n">
        <v>46087</v>
      </c>
      <c r="C19" s="14" t="n">
        <v>46090</v>
      </c>
      <c r="D19" s="87" t="inlineStr">
        <is>
          <t>ISMAIR FERREIRA DE OLIVEIRA</t>
        </is>
      </c>
      <c r="E19" s="87" t="inlineStr">
        <is>
          <t>Azul</t>
        </is>
      </c>
      <c r="F19" s="87" t="inlineStr">
        <is>
          <t>Leticia</t>
        </is>
      </c>
      <c r="G19" s="87" t="inlineStr">
        <is>
          <t xml:space="preserve">Novo </t>
        </is>
      </c>
      <c r="H19" s="87" t="inlineStr">
        <is>
          <t>Assinado</t>
        </is>
      </c>
      <c r="I19" s="14" t="n">
        <v>46094</v>
      </c>
      <c r="L19" s="28" t="inlineStr">
        <is>
          <t>Não assinaram</t>
        </is>
      </c>
      <c r="M19" s="30">
        <f>COUNTIFS(E2:E999,"Tokio",H2:H999,"na planilha")</f>
        <v/>
      </c>
    </row>
    <row r="20" ht="15.75" customHeight="1" s="83" thickBot="1">
      <c r="A20" s="14" t="n">
        <v>46084</v>
      </c>
      <c r="B20" s="14" t="n">
        <v>46087</v>
      </c>
      <c r="C20" s="14" t="n">
        <v>46090</v>
      </c>
      <c r="D20" s="87" t="inlineStr">
        <is>
          <t>ELSO SAMPAIO NUNES</t>
        </is>
      </c>
      <c r="E20" s="87" t="inlineStr">
        <is>
          <t>Tokio</t>
        </is>
      </c>
      <c r="F20" s="87" t="inlineStr">
        <is>
          <t>Leticia</t>
        </is>
      </c>
      <c r="G20" s="87" t="inlineStr">
        <is>
          <t xml:space="preserve">Novo </t>
        </is>
      </c>
      <c r="H20" s="87" t="inlineStr">
        <is>
          <t>Assinado(manual)</t>
        </is>
      </c>
      <c r="I20" s="14" t="n">
        <v>46094</v>
      </c>
      <c r="L20" s="50" t="inlineStr">
        <is>
          <t>Não assinaram (%)</t>
        </is>
      </c>
      <c r="M20" s="31">
        <f>M19/M18</f>
        <v/>
      </c>
    </row>
    <row r="21" ht="15.75" customHeight="1" s="83" thickBot="1">
      <c r="A21" s="14" t="n">
        <v>46084</v>
      </c>
      <c r="B21" s="14" t="n">
        <v>46087</v>
      </c>
      <c r="C21" s="14" t="n">
        <v>46090</v>
      </c>
      <c r="D21" s="87" t="inlineStr">
        <is>
          <t>CREUZA SANTANA GUNDIN</t>
        </is>
      </c>
      <c r="E21" s="87" t="inlineStr">
        <is>
          <t>Tokio</t>
        </is>
      </c>
      <c r="F21" s="87" t="inlineStr">
        <is>
          <t>John</t>
        </is>
      </c>
      <c r="G21" s="87" t="inlineStr">
        <is>
          <t xml:space="preserve">Novo </t>
        </is>
      </c>
      <c r="H21" s="87" t="inlineStr">
        <is>
          <t>Assinado</t>
        </is>
      </c>
      <c r="I21" s="14" t="n">
        <v>46094</v>
      </c>
    </row>
    <row r="22" s="83">
      <c r="A22" s="14" t="n">
        <v>46084</v>
      </c>
      <c r="B22" s="14" t="n">
        <v>46087</v>
      </c>
      <c r="C22" s="14" t="n">
        <v>46090</v>
      </c>
      <c r="D22" s="87" t="inlineStr">
        <is>
          <t>NELMA MARIA DA GLORIA LIMA</t>
        </is>
      </c>
      <c r="E22" s="87" t="inlineStr">
        <is>
          <t>Azul</t>
        </is>
      </c>
      <c r="F22" s="87" t="inlineStr">
        <is>
          <t>Jacqueline</t>
        </is>
      </c>
      <c r="G22" s="87" t="inlineStr">
        <is>
          <t xml:space="preserve">Novo </t>
        </is>
      </c>
      <c r="H22" s="87" t="inlineStr">
        <is>
          <t>Cancelado</t>
        </is>
      </c>
      <c r="I22" s="14" t="n">
        <v>46094</v>
      </c>
      <c r="L22" s="91" t="inlineStr">
        <is>
          <t>Relatório de fechamentos</t>
        </is>
      </c>
      <c r="M22" s="92" t="n"/>
      <c r="V22" s="87" t="n"/>
      <c r="W22" s="87" t="n"/>
    </row>
    <row r="23" s="83">
      <c r="A23" s="14" t="n">
        <v>46084</v>
      </c>
      <c r="B23" s="14" t="n">
        <v>46087</v>
      </c>
      <c r="C23" s="14" t="n">
        <v>46093</v>
      </c>
      <c r="D23" s="87" t="inlineStr">
        <is>
          <t>CRISTIANO DANTAS NOVAES</t>
        </is>
      </c>
      <c r="E23" s="87" t="inlineStr">
        <is>
          <t>Suhai</t>
        </is>
      </c>
      <c r="F23" s="87" t="inlineStr">
        <is>
          <t>Isabella</t>
        </is>
      </c>
      <c r="G23" s="87" t="inlineStr">
        <is>
          <t xml:space="preserve">Novo </t>
        </is>
      </c>
      <c r="H23" s="87" t="inlineStr">
        <is>
          <t>Na planilha</t>
        </is>
      </c>
      <c r="I23" s="14" t="n">
        <v>46096</v>
      </c>
      <c r="L23" s="28" t="inlineStr">
        <is>
          <t xml:space="preserve"> Total de clientes</t>
        </is>
      </c>
      <c r="M23" s="33">
        <f>COUNTA(D2:D996)</f>
        <v/>
      </c>
      <c r="V23" s="87" t="n"/>
      <c r="W23" s="87" t="n"/>
    </row>
    <row r="24">
      <c r="A24" s="14" t="n">
        <v>46085</v>
      </c>
      <c r="B24" s="14" t="n">
        <v>46088</v>
      </c>
      <c r="C24" s="14" t="n">
        <v>46093</v>
      </c>
      <c r="D24" s="87" t="inlineStr">
        <is>
          <t>JOAO MARIA DA SILVA</t>
        </is>
      </c>
      <c r="E24" s="87" t="inlineStr">
        <is>
          <t>Azul</t>
        </is>
      </c>
      <c r="F24" s="87" t="inlineStr">
        <is>
          <t>Leticia</t>
        </is>
      </c>
      <c r="G24" s="87" t="inlineStr">
        <is>
          <t xml:space="preserve">Novo </t>
        </is>
      </c>
      <c r="H24" s="87" t="inlineStr">
        <is>
          <t>Assinado</t>
        </is>
      </c>
      <c r="I24" s="14" t="n">
        <v>46096</v>
      </c>
      <c r="L24" s="28" t="inlineStr">
        <is>
          <t>Cancelamentos</t>
        </is>
      </c>
      <c r="M24" s="30">
        <f>COUNTIF(H2:H999,"Cancelado")</f>
        <v/>
      </c>
    </row>
    <row r="25" ht="15.75" customHeight="1" s="83" thickBot="1">
      <c r="A25" s="14" t="n">
        <v>46085</v>
      </c>
      <c r="B25" s="14" t="n">
        <v>46088</v>
      </c>
      <c r="C25" s="14" t="n">
        <v>46093</v>
      </c>
      <c r="D25" s="87" t="inlineStr">
        <is>
          <t>ROGERIO GRANADO</t>
        </is>
      </c>
      <c r="E25" s="87" t="inlineStr">
        <is>
          <t>Porto</t>
        </is>
      </c>
      <c r="F25" s="87" t="inlineStr">
        <is>
          <t>Leticia</t>
        </is>
      </c>
      <c r="G25" s="87" t="inlineStr">
        <is>
          <t xml:space="preserve">Novo </t>
        </is>
      </c>
      <c r="H25" s="87" t="inlineStr">
        <is>
          <t>Assinado</t>
        </is>
      </c>
      <c r="I25" s="14" t="n">
        <v>46096</v>
      </c>
      <c r="L25" s="50" t="inlineStr">
        <is>
          <t>Cancelamento(%)</t>
        </is>
      </c>
      <c r="M25" s="31">
        <f>M24/M23</f>
        <v/>
      </c>
    </row>
    <row r="26" ht="15.75" customHeight="1" s="83" thickBot="1">
      <c r="A26" s="14" t="n">
        <v>46085</v>
      </c>
      <c r="B26" s="14" t="n">
        <v>46088</v>
      </c>
      <c r="C26" s="14" t="n">
        <v>46093</v>
      </c>
      <c r="D26" s="87" t="inlineStr">
        <is>
          <t>THIAGO APARECIDO AFONSO DE CARVALHO</t>
        </is>
      </c>
      <c r="E26" s="87" t="inlineStr">
        <is>
          <t>Itaú</t>
        </is>
      </c>
      <c r="F26" s="87" t="inlineStr">
        <is>
          <t>John</t>
        </is>
      </c>
      <c r="G26" s="87" t="inlineStr">
        <is>
          <t xml:space="preserve">Novo </t>
        </is>
      </c>
      <c r="H26" s="87" t="inlineStr">
        <is>
          <t>Assinado</t>
        </is>
      </c>
      <c r="I26" s="14" t="n">
        <v>46096</v>
      </c>
      <c r="L26" s="87" t="n"/>
    </row>
    <row r="27" ht="15" customHeight="1" s="83">
      <c r="A27" s="14" t="n">
        <v>46085</v>
      </c>
      <c r="B27" s="14" t="n">
        <v>46088</v>
      </c>
      <c r="C27" s="14" t="n">
        <v>46093</v>
      </c>
      <c r="D27" s="87" t="inlineStr">
        <is>
          <t>MARCOS DE OLIVEIRA MUNIZ</t>
        </is>
      </c>
      <c r="E27" s="87" t="inlineStr">
        <is>
          <t>Suhai</t>
        </is>
      </c>
      <c r="F27" s="87" t="inlineStr">
        <is>
          <t>John</t>
        </is>
      </c>
      <c r="G27" s="87" t="inlineStr">
        <is>
          <t xml:space="preserve">Novo </t>
        </is>
      </c>
      <c r="H27" s="87" t="inlineStr">
        <is>
          <t>Na planilha</t>
        </is>
      </c>
      <c r="I27" s="14" t="n">
        <v>46096</v>
      </c>
      <c r="L27" s="35" t="inlineStr">
        <is>
          <t>seguradora</t>
        </is>
      </c>
      <c r="M27" s="36" t="inlineStr">
        <is>
          <t>quantidade</t>
        </is>
      </c>
      <c r="V27" s="87" t="n"/>
      <c r="W27" s="87" t="n"/>
    </row>
    <row r="28">
      <c r="A28" s="14" t="n">
        <v>46085</v>
      </c>
      <c r="B28" s="14" t="n">
        <v>46088</v>
      </c>
      <c r="C28" s="14" t="n">
        <v>46093</v>
      </c>
      <c r="D28" s="87" t="inlineStr">
        <is>
          <t>IZABEL DE FATIMA ALVES SOBRAL</t>
        </is>
      </c>
      <c r="E28" s="87" t="inlineStr">
        <is>
          <t>Mapfre</t>
        </is>
      </c>
      <c r="F28" s="87" t="inlineStr">
        <is>
          <t>John</t>
        </is>
      </c>
      <c r="G28" s="87" t="inlineStr">
        <is>
          <t xml:space="preserve">Novo </t>
        </is>
      </c>
      <c r="H28" s="87" t="inlineStr">
        <is>
          <t>Assinado</t>
        </is>
      </c>
      <c r="I28" s="14" t="n">
        <v>46096</v>
      </c>
      <c r="L28" s="28" t="inlineStr">
        <is>
          <t>Azul</t>
        </is>
      </c>
      <c r="M28" s="33">
        <f>COUNTIF(E2:E999, "Azul")</f>
        <v/>
      </c>
    </row>
    <row r="29" ht="15" customHeight="1" s="83">
      <c r="A29" s="14" t="n">
        <v>46085</v>
      </c>
      <c r="B29" s="14" t="n">
        <v>46088</v>
      </c>
      <c r="C29" s="14" t="n">
        <v>46093</v>
      </c>
      <c r="D29" s="87" t="inlineStr">
        <is>
          <t>FELIPE PATRICIO DA SILVA</t>
        </is>
      </c>
      <c r="E29" s="87" t="inlineStr">
        <is>
          <t>Allianz</t>
        </is>
      </c>
      <c r="F29" s="87" t="inlineStr">
        <is>
          <t>John</t>
        </is>
      </c>
      <c r="G29" s="87" t="inlineStr">
        <is>
          <t xml:space="preserve">Novo </t>
        </is>
      </c>
      <c r="H29" s="87" t="inlineStr">
        <is>
          <t>Assinado</t>
        </is>
      </c>
      <c r="I29" s="14" t="n">
        <v>46096</v>
      </c>
      <c r="L29" s="28" t="inlineStr">
        <is>
          <t>Suhai</t>
        </is>
      </c>
      <c r="M29" s="33">
        <f>COUNTIF(E2:E999, "Suhai")</f>
        <v/>
      </c>
    </row>
    <row r="30" s="83">
      <c r="A30" s="14" t="n">
        <v>46085</v>
      </c>
      <c r="B30" s="14" t="n">
        <v>46088</v>
      </c>
      <c r="C30" s="14" t="n">
        <v>46093</v>
      </c>
      <c r="D30" s="87" t="inlineStr">
        <is>
          <t>ESTER SPINELI</t>
        </is>
      </c>
      <c r="E30" s="87" t="inlineStr">
        <is>
          <t>Porto</t>
        </is>
      </c>
      <c r="F30" s="87" t="inlineStr">
        <is>
          <t>John</t>
        </is>
      </c>
      <c r="G30" s="87" t="inlineStr">
        <is>
          <t xml:space="preserve">Novo </t>
        </is>
      </c>
      <c r="H30" s="87" t="inlineStr">
        <is>
          <t>Assinado</t>
        </is>
      </c>
      <c r="I30" s="14" t="n">
        <v>46096</v>
      </c>
      <c r="L30" s="28" t="inlineStr">
        <is>
          <t>Tokio</t>
        </is>
      </c>
      <c r="M30" s="33">
        <f>COUNTIF(E2:E999, "Tokio")</f>
        <v/>
      </c>
      <c r="V30" s="87" t="n"/>
      <c r="W30" s="87" t="n"/>
    </row>
    <row r="31" ht="15" customHeight="1" s="83">
      <c r="A31" s="14" t="n">
        <v>46085</v>
      </c>
      <c r="B31" s="14" t="n">
        <v>46088</v>
      </c>
      <c r="C31" s="14" t="n">
        <v>46093</v>
      </c>
      <c r="D31" s="87" t="inlineStr">
        <is>
          <t>DENIS MURILO FERREIRA</t>
        </is>
      </c>
      <c r="E31" s="87" t="inlineStr">
        <is>
          <t>Azul</t>
        </is>
      </c>
      <c r="F31" s="87" t="inlineStr">
        <is>
          <t>John</t>
        </is>
      </c>
      <c r="G31" s="87" t="inlineStr">
        <is>
          <t xml:space="preserve">Novo </t>
        </is>
      </c>
      <c r="H31" s="87" t="inlineStr">
        <is>
          <t>Assinado</t>
        </is>
      </c>
      <c r="I31" s="14" t="n">
        <v>46096</v>
      </c>
      <c r="L31" s="28" t="inlineStr">
        <is>
          <t xml:space="preserve">Porto </t>
        </is>
      </c>
      <c r="M31" s="33">
        <f>COUNTIF(E2:E999, "Porto")</f>
        <v/>
      </c>
    </row>
    <row r="32" s="83">
      <c r="A32" s="14" t="n">
        <v>46085</v>
      </c>
      <c r="B32" s="14" t="n">
        <v>46088</v>
      </c>
      <c r="C32" s="14" t="n">
        <v>46093</v>
      </c>
      <c r="D32" s="87" t="inlineStr">
        <is>
          <t>CRISTINA GONCALVES DE SOUZA</t>
        </is>
      </c>
      <c r="E32" s="87" t="inlineStr">
        <is>
          <t>Suhai</t>
        </is>
      </c>
      <c r="F32" s="87" t="inlineStr">
        <is>
          <t>John</t>
        </is>
      </c>
      <c r="G32" s="87" t="inlineStr">
        <is>
          <t xml:space="preserve">Novo </t>
        </is>
      </c>
      <c r="H32" s="87" t="inlineStr">
        <is>
          <t>Assinado</t>
        </is>
      </c>
      <c r="I32" s="14" t="n">
        <v>46096</v>
      </c>
      <c r="L32" s="28" t="inlineStr">
        <is>
          <t>Mapfre</t>
        </is>
      </c>
      <c r="M32" s="33">
        <f>COUNTIF(E2:E999, "Mapfre")</f>
        <v/>
      </c>
      <c r="V32" s="87" t="n"/>
      <c r="W32" s="87" t="n"/>
    </row>
    <row r="33" s="83">
      <c r="A33" s="14" t="n">
        <v>46085</v>
      </c>
      <c r="B33" s="14" t="n">
        <v>46088</v>
      </c>
      <c r="C33" s="14" t="n">
        <v>46093</v>
      </c>
      <c r="D33" s="87" t="inlineStr">
        <is>
          <t>CRISTINA GONCALVES DE SOUZA</t>
        </is>
      </c>
      <c r="E33" s="87" t="inlineStr">
        <is>
          <t>Suhai</t>
        </is>
      </c>
      <c r="F33" s="87" t="inlineStr">
        <is>
          <t>John</t>
        </is>
      </c>
      <c r="G33" s="87" t="inlineStr">
        <is>
          <t xml:space="preserve">Novo </t>
        </is>
      </c>
      <c r="H33" s="87" t="inlineStr">
        <is>
          <t>Cancelado</t>
        </is>
      </c>
      <c r="I33" s="14" t="n">
        <v>46096</v>
      </c>
      <c r="L33" s="28" t="inlineStr">
        <is>
          <t>Itaú</t>
        </is>
      </c>
      <c r="M33" s="33">
        <f>COUNTIF(E2:E999, "Itaú")</f>
        <v/>
      </c>
      <c r="V33" s="87" t="n"/>
      <c r="W33" s="87" t="n"/>
    </row>
    <row r="34" ht="15" customHeight="1" s="83">
      <c r="A34" s="14" t="n">
        <v>46085</v>
      </c>
      <c r="B34" s="14" t="n">
        <v>46088</v>
      </c>
      <c r="C34" s="14" t="n">
        <v>46093</v>
      </c>
      <c r="D34" s="87" t="inlineStr">
        <is>
          <t>NILSON JOSE TIGRE</t>
        </is>
      </c>
      <c r="E34" s="87" t="inlineStr">
        <is>
          <t>Suhai</t>
        </is>
      </c>
      <c r="F34" s="87" t="inlineStr">
        <is>
          <t>John</t>
        </is>
      </c>
      <c r="G34" s="87" t="inlineStr">
        <is>
          <t xml:space="preserve">Novo </t>
        </is>
      </c>
      <c r="H34" s="87" t="inlineStr">
        <is>
          <t>Assinado</t>
        </is>
      </c>
      <c r="I34" s="14" t="n">
        <v>46096</v>
      </c>
      <c r="L34" s="28" t="inlineStr">
        <is>
          <t>Allianz</t>
        </is>
      </c>
      <c r="M34" s="33">
        <f>COUNTIF(E2:E999, "Allianz")</f>
        <v/>
      </c>
    </row>
    <row r="35" ht="15" customHeight="1" s="83">
      <c r="A35" s="14" t="n">
        <v>46085</v>
      </c>
      <c r="B35" s="14" t="n">
        <v>46088</v>
      </c>
      <c r="C35" s="14" t="n">
        <v>46093</v>
      </c>
      <c r="D35" s="87" t="inlineStr">
        <is>
          <t>JONATAS DE SOUSA LIRA DA COSTA</t>
        </is>
      </c>
      <c r="E35" s="87" t="inlineStr">
        <is>
          <t>Itaú</t>
        </is>
      </c>
      <c r="F35" s="87" t="inlineStr">
        <is>
          <t>Enzo</t>
        </is>
      </c>
      <c r="G35" s="87" t="inlineStr">
        <is>
          <t xml:space="preserve">Novo </t>
        </is>
      </c>
      <c r="H35" s="87" t="inlineStr">
        <is>
          <t>Assinado</t>
        </is>
      </c>
      <c r="I35" s="14" t="n">
        <v>46096</v>
      </c>
      <c r="L35" s="28" t="inlineStr">
        <is>
          <t>Bradesco</t>
        </is>
      </c>
      <c r="M35" s="33">
        <f>COUNTIF(E2:E999, "Bradesco")</f>
        <v/>
      </c>
    </row>
    <row r="36" s="83">
      <c r="A36" s="14" t="n">
        <v>46085</v>
      </c>
      <c r="B36" s="14" t="n">
        <v>46088</v>
      </c>
      <c r="C36" s="14" t="n">
        <v>46093</v>
      </c>
      <c r="D36" s="87" t="inlineStr">
        <is>
          <t>JOSE ANTONIO DA SILVA</t>
        </is>
      </c>
      <c r="E36" s="87" t="inlineStr">
        <is>
          <t>Tokio</t>
        </is>
      </c>
      <c r="F36" s="87" t="inlineStr">
        <is>
          <t>Leticia</t>
        </is>
      </c>
      <c r="G36" s="87" t="inlineStr">
        <is>
          <t xml:space="preserve">Novo </t>
        </is>
      </c>
      <c r="H36" s="87" t="inlineStr">
        <is>
          <t>Na planilha</t>
        </is>
      </c>
      <c r="I36" s="14" t="n">
        <v>46096</v>
      </c>
      <c r="L36" s="28" t="inlineStr">
        <is>
          <t>Yellum</t>
        </is>
      </c>
      <c r="M36" s="33">
        <f>COUNTIF(E2:E999, "Yellum")</f>
        <v/>
      </c>
      <c r="V36" s="87" t="n"/>
      <c r="W36" s="87" t="n"/>
    </row>
    <row r="37">
      <c r="A37" s="14" t="n">
        <v>46085</v>
      </c>
      <c r="B37" s="14" t="n">
        <v>46088</v>
      </c>
      <c r="C37" s="14" t="n">
        <v>46093</v>
      </c>
      <c r="D37" s="87" t="inlineStr">
        <is>
          <t>LUCAS MARTINS MARTINEZ</t>
        </is>
      </c>
      <c r="E37" s="87" t="inlineStr">
        <is>
          <t>Azul</t>
        </is>
      </c>
      <c r="F37" s="87" t="inlineStr">
        <is>
          <t>Jacqueline</t>
        </is>
      </c>
      <c r="G37" s="87" t="inlineStr">
        <is>
          <t xml:space="preserve">Novo </t>
        </is>
      </c>
      <c r="H37" s="87" t="inlineStr">
        <is>
          <t>Assinado</t>
        </is>
      </c>
      <c r="I37" s="14" t="n">
        <v>46096</v>
      </c>
      <c r="L37" s="28" t="inlineStr">
        <is>
          <t>Zurich</t>
        </is>
      </c>
      <c r="M37" s="33">
        <f>COUNTIF(E2:E999, "Zurich")</f>
        <v/>
      </c>
    </row>
    <row r="38" ht="15" customHeight="1" s="83">
      <c r="A38" s="14" t="n">
        <v>46085</v>
      </c>
      <c r="B38" s="14" t="n">
        <v>46088</v>
      </c>
      <c r="C38" s="14" t="n">
        <v>46093</v>
      </c>
      <c r="D38" s="87" t="inlineStr">
        <is>
          <t>ANTONIO ROMILTON DA SILVA OLIVEIRA</t>
        </is>
      </c>
      <c r="E38" s="87" t="inlineStr">
        <is>
          <t>Azul</t>
        </is>
      </c>
      <c r="F38" s="87" t="inlineStr">
        <is>
          <t>Jacqueline</t>
        </is>
      </c>
      <c r="G38" s="87" t="inlineStr">
        <is>
          <t xml:space="preserve">Novo </t>
        </is>
      </c>
      <c r="H38" s="87" t="inlineStr">
        <is>
          <t>Assinado</t>
        </is>
      </c>
      <c r="I38" s="14" t="n">
        <v>46096</v>
      </c>
      <c r="L38" s="28" t="inlineStr">
        <is>
          <t>Mitsui</t>
        </is>
      </c>
      <c r="M38" s="33">
        <f>COUNTIF(E2:E999, "Mitsui")</f>
        <v/>
      </c>
    </row>
    <row r="39" s="83">
      <c r="A39" s="14" t="n">
        <v>46085</v>
      </c>
      <c r="B39" s="14" t="n">
        <v>46088</v>
      </c>
      <c r="C39" s="14" t="n">
        <v>46093</v>
      </c>
      <c r="D39" s="87" t="inlineStr">
        <is>
          <t>JULIANO CAMARGO DA CUNHA</t>
        </is>
      </c>
      <c r="E39" s="87" t="inlineStr">
        <is>
          <t>Suhai</t>
        </is>
      </c>
      <c r="F39" s="87" t="inlineStr">
        <is>
          <t>Leticia</t>
        </is>
      </c>
      <c r="G39" s="87" t="inlineStr">
        <is>
          <t xml:space="preserve">Novo </t>
        </is>
      </c>
      <c r="H39" s="87" t="inlineStr">
        <is>
          <t>Na planilha</t>
        </is>
      </c>
      <c r="I39" s="14" t="n">
        <v>46096</v>
      </c>
      <c r="L39" s="28" t="inlineStr">
        <is>
          <t>Ezze</t>
        </is>
      </c>
      <c r="M39" s="33">
        <f>COUNTIF(E2:E999, "Ezze")</f>
        <v/>
      </c>
      <c r="V39" s="87" t="n"/>
      <c r="W39" s="87" t="n"/>
    </row>
    <row r="40" s="83">
      <c r="A40" s="14" t="n">
        <v>46085</v>
      </c>
      <c r="B40" s="14" t="n">
        <v>46088</v>
      </c>
      <c r="C40" s="14" t="n">
        <v>46093</v>
      </c>
      <c r="D40" s="87" t="inlineStr">
        <is>
          <t>ITAMAR DE MELO ACCESSOR</t>
        </is>
      </c>
      <c r="E40" s="87" t="inlineStr">
        <is>
          <t>Suhai</t>
        </is>
      </c>
      <c r="F40" s="87" t="inlineStr">
        <is>
          <t>John</t>
        </is>
      </c>
      <c r="G40" s="87" t="inlineStr">
        <is>
          <t xml:space="preserve">Novo </t>
        </is>
      </c>
      <c r="H40" s="87" t="inlineStr">
        <is>
          <t>Na planilha</t>
        </is>
      </c>
      <c r="I40" s="14" t="n">
        <v>46096</v>
      </c>
      <c r="L40" s="28" t="inlineStr">
        <is>
          <t>Aliro</t>
        </is>
      </c>
      <c r="M40" s="33">
        <f>COUNTIF(E2:E999, "Aliro")</f>
        <v/>
      </c>
      <c r="V40" s="87" t="n"/>
      <c r="W40" s="87" t="n"/>
    </row>
    <row r="41" ht="15" customHeight="1" s="83" thickBot="1">
      <c r="A41" s="14" t="n">
        <v>46086</v>
      </c>
      <c r="B41" s="14" t="n">
        <v>46089</v>
      </c>
      <c r="C41" s="14" t="n">
        <v>46093</v>
      </c>
      <c r="D41" s="87" t="inlineStr">
        <is>
          <t>JUAREZ LIMA SANTOS</t>
        </is>
      </c>
      <c r="E41" s="87" t="inlineStr">
        <is>
          <t>Porto</t>
        </is>
      </c>
      <c r="F41" s="87" t="inlineStr">
        <is>
          <t>Leticia</t>
        </is>
      </c>
      <c r="G41" s="87" t="inlineStr">
        <is>
          <t xml:space="preserve">Novo </t>
        </is>
      </c>
      <c r="H41" s="87" t="inlineStr">
        <is>
          <t>Assinado</t>
        </is>
      </c>
      <c r="I41" s="14" t="n">
        <v>46096</v>
      </c>
      <c r="L41" s="50" t="inlineStr">
        <is>
          <t>HDI</t>
        </is>
      </c>
      <c r="M41" s="34">
        <f>COUNTIF(E2:E999, "HDI")</f>
        <v/>
      </c>
    </row>
    <row r="42" ht="15.75" customHeight="1" s="83" thickBot="1">
      <c r="A42" s="14" t="n">
        <v>46086</v>
      </c>
      <c r="B42" s="14" t="n">
        <v>46089</v>
      </c>
      <c r="C42" s="14" t="n">
        <v>46093</v>
      </c>
      <c r="D42" s="87" t="inlineStr">
        <is>
          <t>ALEXANDRE ROBERTO PIMENTA</t>
        </is>
      </c>
      <c r="E42" s="87" t="inlineStr">
        <is>
          <t>Azul</t>
        </is>
      </c>
      <c r="F42" s="87" t="inlineStr">
        <is>
          <t>Jacqueline</t>
        </is>
      </c>
      <c r="G42" s="87" t="inlineStr">
        <is>
          <t xml:space="preserve">Novo </t>
        </is>
      </c>
      <c r="H42" s="87" t="inlineStr">
        <is>
          <t>Na planilha</t>
        </is>
      </c>
      <c r="I42" s="14" t="n">
        <v>46096</v>
      </c>
      <c r="L42" s="87" t="n"/>
      <c r="M42" s="62" t="n"/>
      <c r="V42" s="87" t="n"/>
      <c r="W42" s="87" t="n"/>
    </row>
    <row r="43" ht="15.75" customHeight="1" s="83" thickBot="1">
      <c r="A43" s="14" t="n">
        <v>46086</v>
      </c>
      <c r="B43" s="14" t="n">
        <v>46089</v>
      </c>
      <c r="C43" s="14" t="n">
        <v>46093</v>
      </c>
      <c r="D43" s="87" t="inlineStr">
        <is>
          <t>ELIANE DOS SANTOS MARIOLLA</t>
        </is>
      </c>
      <c r="E43" s="87" t="inlineStr">
        <is>
          <t>Mapfre</t>
        </is>
      </c>
      <c r="F43" s="87" t="inlineStr">
        <is>
          <t>Jacqueline</t>
        </is>
      </c>
      <c r="G43" s="87" t="inlineStr">
        <is>
          <t xml:space="preserve">Novo </t>
        </is>
      </c>
      <c r="H43" s="87" t="inlineStr">
        <is>
          <t>Na planilha</t>
        </is>
      </c>
      <c r="I43" s="14" t="n">
        <v>46096</v>
      </c>
      <c r="L43" s="42" t="inlineStr">
        <is>
          <t>Grupo Porto</t>
        </is>
      </c>
      <c r="M43" s="43">
        <f>COUNTIF(E2:E998,"Porto") + COUNTIF(E2:E998,"Azul") + COUNTIF(E2:E998,"Itaú")</f>
        <v/>
      </c>
      <c r="N43" s="44">
        <f>M43/M23</f>
        <v/>
      </c>
      <c r="V43" s="87" t="n"/>
      <c r="W43" s="87" t="n"/>
    </row>
    <row r="44" s="83">
      <c r="A44" s="14" t="n">
        <v>46086</v>
      </c>
      <c r="B44" s="14" t="n">
        <v>46089</v>
      </c>
      <c r="C44" s="14" t="n">
        <v>46093</v>
      </c>
      <c r="D44" s="87" t="inlineStr">
        <is>
          <t>LUCAS REJANIO ALVES DE MENEZES</t>
        </is>
      </c>
      <c r="E44" s="87" t="inlineStr">
        <is>
          <t>Tokio</t>
        </is>
      </c>
      <c r="F44" s="87" t="inlineStr">
        <is>
          <t>John</t>
        </is>
      </c>
      <c r="G44" s="87" t="inlineStr">
        <is>
          <t xml:space="preserve">Novo </t>
        </is>
      </c>
      <c r="H44" s="87" t="inlineStr">
        <is>
          <t>Na planilha</t>
        </is>
      </c>
      <c r="I44" s="14" t="n">
        <v>46096</v>
      </c>
      <c r="V44" s="87" t="n"/>
      <c r="W44" s="87" t="n"/>
    </row>
    <row r="45" ht="15" customHeight="1" s="83">
      <c r="A45" s="14" t="n">
        <v>46086</v>
      </c>
      <c r="B45" s="14" t="n">
        <v>46089</v>
      </c>
      <c r="C45" s="14" t="n">
        <v>46093</v>
      </c>
      <c r="D45" s="87" t="inlineStr">
        <is>
          <t>ANA CAROLINA LUJZA DE MOURA PRAGER</t>
        </is>
      </c>
      <c r="E45" s="87" t="inlineStr">
        <is>
          <t>Porto</t>
        </is>
      </c>
      <c r="F45" s="87" t="inlineStr">
        <is>
          <t>John</t>
        </is>
      </c>
      <c r="G45" s="87" t="inlineStr">
        <is>
          <t>Renovação</t>
        </is>
      </c>
      <c r="H45" s="87" t="inlineStr">
        <is>
          <t>Assinado</t>
        </is>
      </c>
      <c r="I45" s="14" t="n">
        <v>46096</v>
      </c>
    </row>
    <row r="46" ht="15" customHeight="1" s="83">
      <c r="A46" s="14" t="n">
        <v>46086</v>
      </c>
      <c r="B46" s="14" t="n">
        <v>46089</v>
      </c>
      <c r="C46" s="14" t="n">
        <v>46093</v>
      </c>
      <c r="D46" s="87" t="inlineStr">
        <is>
          <t>ANA CAROLINA LUJZA DE MOURA PRAGER</t>
        </is>
      </c>
      <c r="E46" s="87" t="inlineStr">
        <is>
          <t>Azul</t>
        </is>
      </c>
      <c r="F46" s="87" t="inlineStr">
        <is>
          <t>John</t>
        </is>
      </c>
      <c r="G46" s="87" t="inlineStr">
        <is>
          <t xml:space="preserve">Novo </t>
        </is>
      </c>
      <c r="H46" s="87" t="inlineStr">
        <is>
          <t>Assinado</t>
        </is>
      </c>
      <c r="I46" s="14" t="n">
        <v>46096</v>
      </c>
    </row>
    <row r="47" s="83">
      <c r="A47" s="14" t="n">
        <v>46086</v>
      </c>
      <c r="B47" s="14" t="n">
        <v>46089</v>
      </c>
      <c r="C47" s="14" t="n">
        <v>46093</v>
      </c>
      <c r="D47" s="87" t="inlineStr">
        <is>
          <t>CAIQUE SPEZZANO DA SILVA</t>
        </is>
      </c>
      <c r="E47" s="87" t="inlineStr">
        <is>
          <t>Suhai</t>
        </is>
      </c>
      <c r="F47" s="87" t="inlineStr">
        <is>
          <t>John</t>
        </is>
      </c>
      <c r="G47" s="87" t="inlineStr">
        <is>
          <t xml:space="preserve">Novo </t>
        </is>
      </c>
      <c r="H47" s="87" t="inlineStr">
        <is>
          <t>Na planilha</t>
        </is>
      </c>
      <c r="I47" s="14" t="n">
        <v>46096</v>
      </c>
      <c r="V47" s="87" t="n"/>
      <c r="W47" s="87" t="n"/>
    </row>
    <row r="48" ht="15" customHeight="1" s="83">
      <c r="A48" s="14" t="n">
        <v>46086</v>
      </c>
      <c r="B48" s="14" t="n">
        <v>46089</v>
      </c>
      <c r="C48" s="14" t="n">
        <v>46093</v>
      </c>
      <c r="D48" s="87" t="inlineStr">
        <is>
          <t>DAYANE OLIVEIRA GRILO DORNELAS</t>
        </is>
      </c>
      <c r="E48" s="87" t="inlineStr">
        <is>
          <t>Tokio</t>
        </is>
      </c>
      <c r="F48" s="87" t="inlineStr">
        <is>
          <t>John</t>
        </is>
      </c>
      <c r="G48" s="87" t="inlineStr">
        <is>
          <t>Renovação</t>
        </is>
      </c>
      <c r="H48" s="87" t="inlineStr">
        <is>
          <t>Na planilha</t>
        </is>
      </c>
      <c r="I48" s="14" t="n">
        <v>46096</v>
      </c>
    </row>
    <row r="49" ht="15" customHeight="1" s="83">
      <c r="A49" s="14" t="n">
        <v>46086</v>
      </c>
      <c r="B49" s="14" t="n">
        <v>46089</v>
      </c>
      <c r="C49" s="14" t="n">
        <v>46093</v>
      </c>
      <c r="D49" s="87" t="inlineStr">
        <is>
          <t>SIDNEI LOPES DA SILVA</t>
        </is>
      </c>
      <c r="E49" s="87" t="inlineStr">
        <is>
          <t>Porto</t>
        </is>
      </c>
      <c r="F49" s="87" t="inlineStr">
        <is>
          <t>John</t>
        </is>
      </c>
      <c r="G49" s="87" t="inlineStr">
        <is>
          <t>Renovação</t>
        </is>
      </c>
      <c r="H49" s="87" t="inlineStr">
        <is>
          <t>Na planilha</t>
        </is>
      </c>
      <c r="I49" s="14" t="n">
        <v>46096</v>
      </c>
    </row>
    <row r="50">
      <c r="A50" s="14" t="n">
        <v>46086</v>
      </c>
      <c r="B50" s="14" t="n">
        <v>46089</v>
      </c>
      <c r="C50" s="14" t="n">
        <v>46093</v>
      </c>
      <c r="D50" s="87" t="inlineStr">
        <is>
          <t>VALTERIO REIS OLIVEIRA MIRANDA</t>
        </is>
      </c>
      <c r="E50" s="87" t="inlineStr">
        <is>
          <t>Azul</t>
        </is>
      </c>
      <c r="F50" s="87" t="inlineStr">
        <is>
          <t>Myrelle</t>
        </is>
      </c>
      <c r="G50" s="87" t="inlineStr">
        <is>
          <t xml:space="preserve">Novo </t>
        </is>
      </c>
      <c r="H50" s="87" t="inlineStr">
        <is>
          <t>Assinado</t>
        </is>
      </c>
      <c r="I50" s="14" t="n">
        <v>46096</v>
      </c>
    </row>
    <row r="51">
      <c r="A51" s="14" t="n">
        <v>46086</v>
      </c>
      <c r="B51" s="14" t="n">
        <v>46090</v>
      </c>
      <c r="C51" s="14" t="n">
        <v>46093</v>
      </c>
      <c r="D51" s="87" t="inlineStr">
        <is>
          <t>LEANDRO GODINHO</t>
        </is>
      </c>
      <c r="E51" s="87" t="inlineStr">
        <is>
          <t>Itaú</t>
        </is>
      </c>
      <c r="F51" s="87" t="inlineStr">
        <is>
          <t>John</t>
        </is>
      </c>
      <c r="G51" s="87" t="inlineStr">
        <is>
          <t xml:space="preserve">Novo </t>
        </is>
      </c>
      <c r="H51" s="87" t="inlineStr">
        <is>
          <t>Assinado</t>
        </is>
      </c>
      <c r="I51" s="14" t="n">
        <v>46096</v>
      </c>
    </row>
    <row r="52">
      <c r="A52" s="14" t="n">
        <v>46086</v>
      </c>
      <c r="B52" s="14" t="n">
        <v>46089</v>
      </c>
      <c r="C52" s="14" t="n">
        <v>46093</v>
      </c>
      <c r="D52" s="87" t="inlineStr">
        <is>
          <t>SOLANDIA BATISTA BRAZ</t>
        </is>
      </c>
      <c r="E52" s="87" t="inlineStr">
        <is>
          <t>Suhai</t>
        </is>
      </c>
      <c r="F52" s="87" t="inlineStr">
        <is>
          <t>Enzo</t>
        </is>
      </c>
      <c r="G52" s="87" t="inlineStr">
        <is>
          <t xml:space="preserve">Novo </t>
        </is>
      </c>
      <c r="H52" s="87" t="inlineStr">
        <is>
          <t>Na planilha</t>
        </is>
      </c>
      <c r="I52" s="14" t="n">
        <v>46096</v>
      </c>
    </row>
    <row r="53">
      <c r="A53" s="14" t="n">
        <v>46086</v>
      </c>
      <c r="B53" s="14" t="n">
        <v>46089</v>
      </c>
      <c r="C53" s="14" t="n">
        <v>46093</v>
      </c>
      <c r="D53" s="87" t="inlineStr">
        <is>
          <t>SOLANDIA BATISTA BRAZ</t>
        </is>
      </c>
      <c r="E53" s="87" t="inlineStr">
        <is>
          <t>Azul</t>
        </is>
      </c>
      <c r="F53" s="87" t="inlineStr">
        <is>
          <t>Enzo</t>
        </is>
      </c>
      <c r="G53" s="87" t="inlineStr">
        <is>
          <t xml:space="preserve">Novo </t>
        </is>
      </c>
      <c r="H53" s="87" t="inlineStr">
        <is>
          <t>Na planilha</t>
        </is>
      </c>
      <c r="I53" s="14" t="n">
        <v>46096</v>
      </c>
    </row>
    <row r="54">
      <c r="A54" s="14" t="n">
        <v>46086</v>
      </c>
      <c r="B54" s="14" t="n">
        <v>46089</v>
      </c>
      <c r="C54" s="14" t="n">
        <v>46093</v>
      </c>
      <c r="D54" s="87" t="inlineStr">
        <is>
          <t>EVELAINE MARTINEZ CERQUEIRA</t>
        </is>
      </c>
      <c r="E54" s="87" t="inlineStr">
        <is>
          <t>Mapfre</t>
        </is>
      </c>
      <c r="F54" s="87" t="inlineStr">
        <is>
          <t>Myrelle</t>
        </is>
      </c>
      <c r="G54" s="87" t="inlineStr">
        <is>
          <t xml:space="preserve">Novo </t>
        </is>
      </c>
      <c r="H54" s="87" t="inlineStr">
        <is>
          <t>Assinado</t>
        </is>
      </c>
      <c r="I54" s="14" t="n">
        <v>46096</v>
      </c>
    </row>
    <row r="55">
      <c r="A55" s="14" t="n">
        <v>46086</v>
      </c>
      <c r="B55" s="14" t="n">
        <v>46089</v>
      </c>
      <c r="C55" s="14" t="n">
        <v>46093</v>
      </c>
      <c r="D55" s="87" t="inlineStr">
        <is>
          <t>EVELAINE MARTINEZ CERQUEIRA</t>
        </is>
      </c>
      <c r="E55" s="87" t="inlineStr">
        <is>
          <t>Mapfre</t>
        </is>
      </c>
      <c r="F55" s="87" t="inlineStr">
        <is>
          <t>Myrelle</t>
        </is>
      </c>
      <c r="G55" s="87" t="inlineStr">
        <is>
          <t xml:space="preserve">Novo </t>
        </is>
      </c>
      <c r="H55" s="87" t="inlineStr">
        <is>
          <t>Assinado</t>
        </is>
      </c>
      <c r="I55" s="14" t="n">
        <v>46096</v>
      </c>
    </row>
    <row r="56">
      <c r="A56" s="14" t="n">
        <v>46086</v>
      </c>
      <c r="B56" s="14" t="n">
        <v>46089</v>
      </c>
      <c r="C56" s="14" t="n">
        <v>46093</v>
      </c>
      <c r="D56" s="87" t="inlineStr">
        <is>
          <t>VALTERIO REIS OLIVEIRA MIRANDA</t>
        </is>
      </c>
      <c r="E56" s="87" t="inlineStr">
        <is>
          <t>Azul</t>
        </is>
      </c>
      <c r="F56" s="87" t="inlineStr">
        <is>
          <t>Myrelle</t>
        </is>
      </c>
      <c r="G56" s="87" t="inlineStr">
        <is>
          <t xml:space="preserve">Novo </t>
        </is>
      </c>
      <c r="H56" s="87" t="inlineStr">
        <is>
          <t>Assinado</t>
        </is>
      </c>
      <c r="I56" s="14" t="n">
        <v>46096</v>
      </c>
      <c r="L56" s="87" t="n"/>
    </row>
    <row r="57" s="83">
      <c r="A57" s="14" t="n">
        <v>46087</v>
      </c>
      <c r="B57" s="14" t="n">
        <v>46090</v>
      </c>
      <c r="C57" s="14" t="n">
        <v>46093</v>
      </c>
      <c r="D57" s="87" t="inlineStr">
        <is>
          <t>DONIZETE BANDARIQUE</t>
        </is>
      </c>
      <c r="E57" s="87" t="inlineStr">
        <is>
          <t>Azul</t>
        </is>
      </c>
      <c r="F57" s="87" t="inlineStr">
        <is>
          <t>Jacqueline</t>
        </is>
      </c>
      <c r="G57" s="87" t="inlineStr">
        <is>
          <t xml:space="preserve">Novo </t>
        </is>
      </c>
      <c r="H57" s="87" t="inlineStr">
        <is>
          <t>Na planilha</t>
        </is>
      </c>
      <c r="I57" s="14" t="n">
        <v>46096</v>
      </c>
      <c r="L57" s="87" t="n"/>
      <c r="M57" s="62" t="n"/>
      <c r="V57" s="87" t="n"/>
      <c r="W57" s="87" t="n"/>
    </row>
    <row r="58">
      <c r="A58" s="14" t="n">
        <v>46087</v>
      </c>
      <c r="B58" s="14" t="n">
        <v>46090</v>
      </c>
      <c r="C58" s="14" t="n">
        <v>46093</v>
      </c>
      <c r="D58" s="87" t="inlineStr">
        <is>
          <t>PAULO JOSE NASCIMENTO</t>
        </is>
      </c>
      <c r="E58" s="87" t="inlineStr">
        <is>
          <t>Azul</t>
        </is>
      </c>
      <c r="F58" s="87" t="inlineStr">
        <is>
          <t>Leticia</t>
        </is>
      </c>
      <c r="G58" s="87" t="inlineStr">
        <is>
          <t xml:space="preserve">Novo </t>
        </is>
      </c>
      <c r="H58" s="87" t="inlineStr">
        <is>
          <t>Assinado(manual)</t>
        </is>
      </c>
      <c r="I58" s="14" t="n">
        <v>46096</v>
      </c>
    </row>
    <row r="59">
      <c r="A59" s="14" t="n">
        <v>46087</v>
      </c>
      <c r="B59" s="14" t="n">
        <v>46090</v>
      </c>
      <c r="C59" s="14" t="n">
        <v>46093</v>
      </c>
      <c r="D59" s="87" t="inlineStr">
        <is>
          <t>EVERTTON MELLANYO CAITANO DA SILVA</t>
        </is>
      </c>
      <c r="E59" s="87" t="inlineStr">
        <is>
          <t>Azul</t>
        </is>
      </c>
      <c r="F59" s="87" t="inlineStr">
        <is>
          <t>John</t>
        </is>
      </c>
      <c r="G59" s="87" t="inlineStr">
        <is>
          <t xml:space="preserve">Novo </t>
        </is>
      </c>
      <c r="H59" s="87" t="inlineStr">
        <is>
          <t>Assinado</t>
        </is>
      </c>
      <c r="I59" s="14" t="n">
        <v>46096</v>
      </c>
    </row>
    <row r="60">
      <c r="A60" s="14" t="n">
        <v>46087</v>
      </c>
      <c r="B60" s="14" t="n">
        <v>46090</v>
      </c>
      <c r="C60" s="14" t="n">
        <v>46093</v>
      </c>
      <c r="D60" s="87" t="inlineStr">
        <is>
          <t>NATALICIO SOARES CAMPOS</t>
        </is>
      </c>
      <c r="E60" s="87" t="inlineStr">
        <is>
          <t>Mapfre</t>
        </is>
      </c>
      <c r="F60" s="87" t="inlineStr">
        <is>
          <t>Myrelle</t>
        </is>
      </c>
      <c r="G60" s="87" t="inlineStr">
        <is>
          <t xml:space="preserve">Novo </t>
        </is>
      </c>
      <c r="H60" s="87" t="inlineStr">
        <is>
          <t>Assinado</t>
        </is>
      </c>
      <c r="I60" s="14" t="n">
        <v>46096</v>
      </c>
    </row>
    <row r="61">
      <c r="A61" s="14" t="n">
        <v>46087</v>
      </c>
      <c r="B61" s="14" t="n">
        <v>46090</v>
      </c>
      <c r="C61" s="14" t="n">
        <v>46093</v>
      </c>
      <c r="D61" s="87" t="inlineStr">
        <is>
          <t>CLAUDINEI DA SILVA</t>
        </is>
      </c>
      <c r="E61" s="87" t="inlineStr">
        <is>
          <t>Tokio</t>
        </is>
      </c>
      <c r="F61" s="87" t="inlineStr">
        <is>
          <t>Myrelle</t>
        </is>
      </c>
      <c r="G61" s="87" t="inlineStr">
        <is>
          <t xml:space="preserve">Novo </t>
        </is>
      </c>
      <c r="H61" s="87" t="inlineStr">
        <is>
          <t>Cancelado</t>
        </is>
      </c>
      <c r="I61" s="14" t="n">
        <v>46096</v>
      </c>
    </row>
    <row r="62">
      <c r="A62" s="14" t="n">
        <v>46087</v>
      </c>
      <c r="B62" s="14" t="n">
        <v>46090</v>
      </c>
      <c r="C62" s="14" t="n">
        <v>46093</v>
      </c>
      <c r="D62" s="87" t="inlineStr">
        <is>
          <t>JOCIMAR PEDRO DA SILVA</t>
        </is>
      </c>
      <c r="E62" s="87" t="inlineStr">
        <is>
          <t>Suhai</t>
        </is>
      </c>
      <c r="F62" s="87" t="inlineStr">
        <is>
          <t>John</t>
        </is>
      </c>
      <c r="G62" s="87" t="inlineStr">
        <is>
          <t xml:space="preserve">Novo </t>
        </is>
      </c>
      <c r="H62" s="87" t="inlineStr">
        <is>
          <t>Assinado</t>
        </is>
      </c>
      <c r="I62" s="14" t="n">
        <v>46096</v>
      </c>
      <c r="L62" s="87" t="n"/>
    </row>
    <row r="63" s="83">
      <c r="A63" s="14" t="n">
        <v>46087</v>
      </c>
      <c r="B63" s="14" t="n">
        <v>46090</v>
      </c>
      <c r="C63" s="14" t="n">
        <v>46093</v>
      </c>
      <c r="D63" s="87" t="inlineStr">
        <is>
          <t>NEUZA BARBOSA RIBEIRO</t>
        </is>
      </c>
      <c r="E63" s="87" t="inlineStr">
        <is>
          <t>Tokio</t>
        </is>
      </c>
      <c r="F63" s="87" t="inlineStr">
        <is>
          <t>Isabella</t>
        </is>
      </c>
      <c r="G63" s="87" t="inlineStr">
        <is>
          <t xml:space="preserve">Novo </t>
        </is>
      </c>
      <c r="H63" s="87" t="inlineStr">
        <is>
          <t>Na planilha</t>
        </is>
      </c>
      <c r="I63" s="14" t="n">
        <v>46096</v>
      </c>
      <c r="L63" s="87" t="n"/>
      <c r="M63" s="62" t="n"/>
      <c r="V63" s="87" t="n"/>
      <c r="W63" s="87" t="n"/>
    </row>
    <row r="64">
      <c r="A64" s="14" t="n">
        <v>46087</v>
      </c>
      <c r="B64" s="14" t="n">
        <v>46090</v>
      </c>
      <c r="C64" s="14" t="n">
        <v>46093</v>
      </c>
      <c r="D64" s="87" t="inlineStr">
        <is>
          <t>DENILSON LOPES VISGUEIRA</t>
        </is>
      </c>
      <c r="E64" s="87" t="inlineStr">
        <is>
          <t>Suhai</t>
        </is>
      </c>
      <c r="F64" s="87" t="inlineStr">
        <is>
          <t>Isabella</t>
        </is>
      </c>
      <c r="G64" s="87" t="inlineStr">
        <is>
          <t xml:space="preserve">Novo </t>
        </is>
      </c>
      <c r="H64" s="87" t="inlineStr">
        <is>
          <t>Assinado</t>
        </is>
      </c>
      <c r="I64" s="14" t="n">
        <v>46096</v>
      </c>
      <c r="L64" s="87" t="n"/>
    </row>
    <row r="65" s="83">
      <c r="A65" s="14" t="n">
        <v>46087</v>
      </c>
      <c r="B65" s="14" t="n">
        <v>46090</v>
      </c>
      <c r="C65" s="14" t="n">
        <v>46093</v>
      </c>
      <c r="D65" s="87" t="inlineStr">
        <is>
          <t>KAUAN SILVA DE AQUINO</t>
        </is>
      </c>
      <c r="E65" s="87" t="inlineStr">
        <is>
          <t>Suhai</t>
        </is>
      </c>
      <c r="F65" s="87" t="inlineStr">
        <is>
          <t>Isabella</t>
        </is>
      </c>
      <c r="G65" s="87" t="inlineStr">
        <is>
          <t xml:space="preserve">Novo </t>
        </is>
      </c>
      <c r="H65" s="87" t="inlineStr">
        <is>
          <t>Na planilha</t>
        </is>
      </c>
      <c r="I65" s="14" t="n">
        <v>46096</v>
      </c>
      <c r="L65" s="87" t="n"/>
      <c r="M65" s="62" t="n"/>
      <c r="V65" s="87" t="n"/>
      <c r="W65" s="87" t="n"/>
    </row>
    <row r="66" s="83">
      <c r="A66" s="14" t="n">
        <v>46087</v>
      </c>
      <c r="B66" s="14" t="n">
        <v>46090</v>
      </c>
      <c r="C66" s="14" t="n">
        <v>46093</v>
      </c>
      <c r="D66" s="87" t="inlineStr">
        <is>
          <t>JOAO LEITE DE ARAUJO</t>
        </is>
      </c>
      <c r="E66" s="87" t="inlineStr">
        <is>
          <t>Azul</t>
        </is>
      </c>
      <c r="F66" s="87" t="inlineStr">
        <is>
          <t>Isabella</t>
        </is>
      </c>
      <c r="G66" s="87" t="inlineStr">
        <is>
          <t xml:space="preserve">Novo </t>
        </is>
      </c>
      <c r="H66" s="87" t="inlineStr">
        <is>
          <t>Na planilha</t>
        </is>
      </c>
      <c r="I66" s="14" t="n">
        <v>46096</v>
      </c>
      <c r="L66" s="87" t="n"/>
      <c r="M66" s="62" t="n"/>
      <c r="V66" s="87" t="n"/>
      <c r="W66" s="87" t="n"/>
    </row>
    <row r="67" ht="15" customHeight="1" s="83">
      <c r="A67" s="14" t="n">
        <v>46087</v>
      </c>
      <c r="B67" s="14" t="n">
        <v>46090</v>
      </c>
      <c r="C67" s="14" t="n">
        <v>46093</v>
      </c>
      <c r="D67" s="87" t="inlineStr">
        <is>
          <t>JANDERSON MACEDO LOPES</t>
        </is>
      </c>
      <c r="E67" s="87" t="inlineStr">
        <is>
          <t>Tokio</t>
        </is>
      </c>
      <c r="F67" s="87" t="inlineStr">
        <is>
          <t>Leticia</t>
        </is>
      </c>
      <c r="G67" s="87" t="inlineStr">
        <is>
          <t>Renovação</t>
        </is>
      </c>
      <c r="H67" s="87" t="inlineStr">
        <is>
          <t>Assinado</t>
        </is>
      </c>
      <c r="I67" s="14" t="n">
        <v>46096</v>
      </c>
      <c r="L67" s="87" t="n"/>
      <c r="M67" s="62" t="n"/>
      <c r="V67" s="87" t="n"/>
      <c r="W67" s="87" t="n"/>
    </row>
    <row r="68">
      <c r="A68" s="14" t="n">
        <v>46087</v>
      </c>
      <c r="B68" s="14" t="n">
        <v>46090</v>
      </c>
      <c r="C68" s="14" t="n">
        <v>46093</v>
      </c>
      <c r="D68" s="87" t="inlineStr">
        <is>
          <t>FLAVIANA MARQUES ALENCAR</t>
        </is>
      </c>
      <c r="E68" s="87" t="inlineStr">
        <is>
          <t>Azul</t>
        </is>
      </c>
      <c r="F68" s="87" t="inlineStr">
        <is>
          <t>Jacqueline</t>
        </is>
      </c>
      <c r="G68" s="87" t="inlineStr">
        <is>
          <t xml:space="preserve">Novo </t>
        </is>
      </c>
      <c r="H68" s="87" t="inlineStr">
        <is>
          <t>Assinado</t>
        </is>
      </c>
      <c r="I68" s="14" t="n">
        <v>46096</v>
      </c>
    </row>
    <row r="69">
      <c r="A69" s="14" t="n">
        <v>46090</v>
      </c>
      <c r="B69" s="14" t="n">
        <v>46093</v>
      </c>
      <c r="C69" s="14" t="n">
        <v>46096</v>
      </c>
      <c r="D69" s="87" t="inlineStr">
        <is>
          <t>EDUARDO DAVOGLIO BARBOSA</t>
        </is>
      </c>
      <c r="E69" s="87" t="inlineStr">
        <is>
          <t>Suhai</t>
        </is>
      </c>
      <c r="F69" s="87" t="inlineStr">
        <is>
          <t>John</t>
        </is>
      </c>
      <c r="G69" s="87" t="inlineStr">
        <is>
          <t xml:space="preserve">Novo </t>
        </is>
      </c>
      <c r="H69" s="87" t="inlineStr">
        <is>
          <t>Assinado</t>
        </is>
      </c>
      <c r="I69" s="14" t="n">
        <v>46099</v>
      </c>
      <c r="L69" s="87" t="n"/>
    </row>
    <row r="70" ht="15" customHeight="1" s="83">
      <c r="A70" s="14" t="n">
        <v>46090</v>
      </c>
      <c r="B70" s="14" t="n">
        <v>46093</v>
      </c>
      <c r="C70" s="14" t="n">
        <v>46096</v>
      </c>
      <c r="D70" s="87" t="inlineStr">
        <is>
          <t>ANNA KAROLINE DA SILVA PORTELA</t>
        </is>
      </c>
      <c r="E70" s="87" t="inlineStr">
        <is>
          <t>Azul</t>
        </is>
      </c>
      <c r="F70" s="87" t="inlineStr">
        <is>
          <t>John</t>
        </is>
      </c>
      <c r="G70" s="87" t="inlineStr">
        <is>
          <t>Renovação</t>
        </is>
      </c>
      <c r="H70" s="87" t="inlineStr">
        <is>
          <t>Cancelado</t>
        </is>
      </c>
      <c r="I70" s="14" t="n">
        <v>46099</v>
      </c>
      <c r="L70" s="87" t="n"/>
      <c r="M70" s="62" t="n"/>
      <c r="V70" s="87" t="n"/>
      <c r="W70" s="87" t="n"/>
    </row>
    <row r="71" s="83">
      <c r="A71" s="14" t="n">
        <v>46090</v>
      </c>
      <c r="B71" s="14" t="n">
        <v>46093</v>
      </c>
      <c r="C71" s="14" t="n">
        <v>46096</v>
      </c>
      <c r="D71" s="87" t="inlineStr">
        <is>
          <t>ANDERSON GONELIS LOPES</t>
        </is>
      </c>
      <c r="E71" s="87" t="inlineStr">
        <is>
          <t>Suhai</t>
        </is>
      </c>
      <c r="F71" s="87" t="inlineStr">
        <is>
          <t>John</t>
        </is>
      </c>
      <c r="G71" s="87" t="inlineStr">
        <is>
          <t xml:space="preserve">Novo </t>
        </is>
      </c>
      <c r="H71" s="87" t="inlineStr">
        <is>
          <t>Na planilha</t>
        </is>
      </c>
      <c r="I71" s="14" t="n">
        <v>46099</v>
      </c>
      <c r="L71" s="87" t="n"/>
      <c r="M71" s="62" t="n"/>
      <c r="V71" s="87" t="n"/>
      <c r="W71" s="87" t="n"/>
    </row>
    <row r="72" ht="15" customHeight="1" s="83">
      <c r="A72" s="14" t="n">
        <v>46090</v>
      </c>
      <c r="B72" s="14" t="n">
        <v>46093</v>
      </c>
      <c r="C72" s="14" t="n">
        <v>46096</v>
      </c>
      <c r="D72" s="87" t="inlineStr">
        <is>
          <t>DIEGO CARLOS VALENTIM</t>
        </is>
      </c>
      <c r="E72" s="87" t="inlineStr">
        <is>
          <t>Suhai</t>
        </is>
      </c>
      <c r="F72" s="87" t="inlineStr">
        <is>
          <t>Isabella</t>
        </is>
      </c>
      <c r="G72" s="87" t="inlineStr">
        <is>
          <t>Renovação</t>
        </is>
      </c>
      <c r="H72" s="87" t="inlineStr">
        <is>
          <t>Na planilha</t>
        </is>
      </c>
      <c r="I72" s="14" t="n">
        <v>46099</v>
      </c>
      <c r="L72" s="87" t="n"/>
      <c r="M72" s="62" t="n"/>
      <c r="V72" s="87" t="n"/>
      <c r="W72" s="87" t="n"/>
    </row>
    <row r="73">
      <c r="A73" s="14" t="n">
        <v>46090</v>
      </c>
      <c r="B73" s="14" t="n">
        <v>46093</v>
      </c>
      <c r="C73" s="14" t="n">
        <v>46096</v>
      </c>
      <c r="D73" s="87" t="inlineStr">
        <is>
          <t>VERAILTON OLIVEIRA LOPES</t>
        </is>
      </c>
      <c r="E73" s="87" t="inlineStr">
        <is>
          <t>Azul</t>
        </is>
      </c>
      <c r="F73" s="87" t="inlineStr">
        <is>
          <t>Jéssica</t>
        </is>
      </c>
      <c r="G73" s="87" t="inlineStr">
        <is>
          <t xml:space="preserve">Novo </t>
        </is>
      </c>
      <c r="H73" s="87" t="inlineStr">
        <is>
          <t>Assinado(manual)</t>
        </is>
      </c>
      <c r="I73" s="14" t="n">
        <v>46099</v>
      </c>
      <c r="L73" s="87" t="n"/>
    </row>
    <row r="74" s="83">
      <c r="A74" s="14" t="n">
        <v>46090</v>
      </c>
      <c r="B74" s="14" t="n">
        <v>46093</v>
      </c>
      <c r="C74" s="14" t="n">
        <v>46096</v>
      </c>
      <c r="D74" s="87" t="inlineStr">
        <is>
          <t>KASSIO RICARDO CAVALCANTE GONZAGA</t>
        </is>
      </c>
      <c r="E74" s="87" t="inlineStr">
        <is>
          <t>Azul</t>
        </is>
      </c>
      <c r="F74" s="87" t="inlineStr">
        <is>
          <t>Jéssica</t>
        </is>
      </c>
      <c r="G74" s="87" t="inlineStr">
        <is>
          <t xml:space="preserve">Novo </t>
        </is>
      </c>
      <c r="H74" s="87" t="inlineStr">
        <is>
          <t>Na planilha</t>
        </is>
      </c>
      <c r="I74" s="14" t="n">
        <v>46099</v>
      </c>
      <c r="L74" s="87" t="n"/>
      <c r="M74" s="62" t="n"/>
      <c r="V74" s="87" t="n"/>
      <c r="W74" s="87" t="n"/>
    </row>
    <row r="75" s="83">
      <c r="A75" s="14" t="n">
        <v>46090</v>
      </c>
      <c r="B75" s="14" t="n">
        <v>46093</v>
      </c>
      <c r="C75" s="14" t="n">
        <v>46096</v>
      </c>
      <c r="D75" s="87" t="inlineStr">
        <is>
          <t>ANTONIO VAZ DE CARVALHO</t>
        </is>
      </c>
      <c r="E75" s="87" t="inlineStr">
        <is>
          <t>Azul</t>
        </is>
      </c>
      <c r="F75" s="87" t="inlineStr">
        <is>
          <t>Jacqueline</t>
        </is>
      </c>
      <c r="G75" s="87" t="inlineStr">
        <is>
          <t xml:space="preserve">Novo </t>
        </is>
      </c>
      <c r="H75" s="87" t="inlineStr">
        <is>
          <t>Assinado</t>
        </is>
      </c>
      <c r="I75" s="14" t="n">
        <v>46099</v>
      </c>
      <c r="L75" s="87" t="n"/>
      <c r="M75" s="62" t="n"/>
      <c r="V75" s="87" t="n"/>
      <c r="W75" s="87" t="n"/>
    </row>
    <row r="76" s="83">
      <c r="A76" s="14" t="n">
        <v>46090</v>
      </c>
      <c r="B76" s="14" t="n">
        <v>46093</v>
      </c>
      <c r="C76" s="14" t="n">
        <v>46096</v>
      </c>
      <c r="D76" s="87" t="inlineStr">
        <is>
          <t>EDVALDO BATISTA DOS SANTOS</t>
        </is>
      </c>
      <c r="E76" s="87" t="inlineStr">
        <is>
          <t>Mapfre</t>
        </is>
      </c>
      <c r="F76" s="87" t="inlineStr">
        <is>
          <t>Enzo</t>
        </is>
      </c>
      <c r="G76" s="87" t="inlineStr">
        <is>
          <t xml:space="preserve">Novo </t>
        </is>
      </c>
      <c r="H76" s="87" t="inlineStr">
        <is>
          <t>Na planilha</t>
        </is>
      </c>
      <c r="I76" s="14" t="n">
        <v>46099</v>
      </c>
      <c r="L76" s="87" t="n"/>
      <c r="M76" s="62" t="n"/>
      <c r="V76" s="87" t="n"/>
      <c r="W76" s="87" t="n"/>
    </row>
    <row r="77">
      <c r="A77" s="14" t="n">
        <v>46090</v>
      </c>
      <c r="B77" s="14" t="n">
        <v>46093</v>
      </c>
      <c r="C77" s="14" t="n">
        <v>46096</v>
      </c>
      <c r="D77" s="87" t="inlineStr">
        <is>
          <t>KARINA FERREIRA DE SOUZA</t>
        </is>
      </c>
      <c r="E77" s="87" t="inlineStr">
        <is>
          <t>Tokio</t>
        </is>
      </c>
      <c r="F77" s="87" t="inlineStr">
        <is>
          <t>Leticia</t>
        </is>
      </c>
      <c r="G77" s="87" t="inlineStr">
        <is>
          <t xml:space="preserve">Novo </t>
        </is>
      </c>
      <c r="H77" s="87" t="inlineStr">
        <is>
          <t>Assinado</t>
        </is>
      </c>
      <c r="I77" s="14" t="n">
        <v>46099</v>
      </c>
      <c r="L77" s="87" t="n"/>
    </row>
    <row r="78" s="83">
      <c r="A78" s="14" t="n">
        <v>46091</v>
      </c>
      <c r="B78" s="14" t="n">
        <v>46094</v>
      </c>
      <c r="C78" s="14" t="n">
        <v>46097</v>
      </c>
      <c r="D78" s="87" t="inlineStr">
        <is>
          <t>CLEIDIMAR FURTUNATO DOS SANTOS</t>
        </is>
      </c>
      <c r="E78" s="87" t="inlineStr">
        <is>
          <t>Yellum</t>
        </is>
      </c>
      <c r="F78" s="87" t="inlineStr">
        <is>
          <t>Jacqueline</t>
        </is>
      </c>
      <c r="G78" s="87" t="inlineStr">
        <is>
          <t xml:space="preserve">Novo </t>
        </is>
      </c>
      <c r="H78" s="87" t="inlineStr">
        <is>
          <t>Na planilha</t>
        </is>
      </c>
      <c r="I78" s="14" t="n">
        <v>46100</v>
      </c>
      <c r="L78" s="87" t="n"/>
      <c r="M78" s="62" t="n"/>
      <c r="V78" s="87" t="n"/>
      <c r="W78" s="87" t="n"/>
    </row>
    <row r="79" s="83">
      <c r="A79" s="14" t="n">
        <v>46090</v>
      </c>
      <c r="B79" s="14" t="n">
        <v>46093</v>
      </c>
      <c r="C79" s="14" t="n">
        <v>46096</v>
      </c>
      <c r="D79" s="87" t="inlineStr">
        <is>
          <t>FABIO DA SILVA PIMENTEL</t>
        </is>
      </c>
      <c r="E79" s="87" t="inlineStr">
        <is>
          <t>Tokio</t>
        </is>
      </c>
      <c r="F79" s="87" t="inlineStr">
        <is>
          <t>John</t>
        </is>
      </c>
      <c r="G79" s="87" t="inlineStr">
        <is>
          <t xml:space="preserve">Novo </t>
        </is>
      </c>
      <c r="H79" s="87" t="inlineStr">
        <is>
          <t>Na planilha</t>
        </is>
      </c>
      <c r="I79" s="14" t="n">
        <v>46099</v>
      </c>
      <c r="L79" s="87" t="n"/>
      <c r="M79" s="62" t="n"/>
      <c r="V79" s="87" t="n"/>
      <c r="W79" s="87" t="n"/>
    </row>
    <row r="80" s="83">
      <c r="A80" s="14" t="n">
        <v>46091</v>
      </c>
      <c r="B80" s="14" t="n">
        <v>46094</v>
      </c>
      <c r="C80" s="14" t="n">
        <v>46097</v>
      </c>
      <c r="D80" s="87" t="inlineStr">
        <is>
          <t>GISELE CAROLAINE CLAUDINO DE PONTES</t>
        </is>
      </c>
      <c r="E80" s="87" t="inlineStr">
        <is>
          <t>Suhai</t>
        </is>
      </c>
      <c r="F80" s="87" t="inlineStr">
        <is>
          <t>Jéssica</t>
        </is>
      </c>
      <c r="G80" s="87" t="inlineStr">
        <is>
          <t xml:space="preserve">Novo </t>
        </is>
      </c>
      <c r="H80" s="87" t="inlineStr">
        <is>
          <t>Assinado</t>
        </is>
      </c>
      <c r="I80" s="14" t="n">
        <v>46100</v>
      </c>
      <c r="L80" s="87" t="n"/>
      <c r="M80" s="62" t="n"/>
      <c r="V80" s="87" t="n"/>
      <c r="W80" s="87" t="n"/>
    </row>
    <row r="81" ht="15" customHeight="1" s="83">
      <c r="A81" s="14" t="n">
        <v>46091</v>
      </c>
      <c r="B81" s="14" t="n">
        <v>46094</v>
      </c>
      <c r="C81" s="14" t="n">
        <v>46097</v>
      </c>
      <c r="D81" s="87" t="inlineStr">
        <is>
          <t>JOSE AUGUSTO LIMA DA SILVA</t>
        </is>
      </c>
      <c r="E81" s="87" t="inlineStr">
        <is>
          <t>Porto</t>
        </is>
      </c>
      <c r="F81" s="87" t="inlineStr">
        <is>
          <t>John</t>
        </is>
      </c>
      <c r="G81" s="87" t="inlineStr">
        <is>
          <t>Renovação</t>
        </is>
      </c>
      <c r="H81" s="87" t="inlineStr">
        <is>
          <t>Assinado</t>
        </is>
      </c>
      <c r="I81" s="14" t="n">
        <v>46100</v>
      </c>
      <c r="L81" s="87" t="n"/>
      <c r="M81" s="62" t="n"/>
      <c r="V81" s="87" t="n"/>
      <c r="W81" s="87" t="n"/>
    </row>
    <row r="82" ht="13.5" customHeight="1" s="83">
      <c r="A82" s="14" t="n">
        <v>46091</v>
      </c>
      <c r="B82" s="14" t="n">
        <v>46094</v>
      </c>
      <c r="C82" s="14" t="n">
        <v>46097</v>
      </c>
      <c r="D82" s="87" t="inlineStr">
        <is>
          <t>DENISE DE SA MARQUES DOS SANTOS</t>
        </is>
      </c>
      <c r="E82" s="87" t="inlineStr">
        <is>
          <t>Allianz</t>
        </is>
      </c>
      <c r="F82" s="87" t="inlineStr">
        <is>
          <t>John</t>
        </is>
      </c>
      <c r="G82" s="87" t="inlineStr">
        <is>
          <t>Renovação</t>
        </is>
      </c>
      <c r="H82" s="87" t="inlineStr">
        <is>
          <t>Assinado</t>
        </is>
      </c>
      <c r="I82" s="14" t="n">
        <v>46100</v>
      </c>
      <c r="L82" s="87" t="n"/>
      <c r="M82" s="62" t="n"/>
      <c r="V82" s="87" t="n"/>
      <c r="W82" s="87" t="n"/>
    </row>
    <row r="83" ht="15" customHeight="1" s="83">
      <c r="A83" s="14" t="n">
        <v>46091</v>
      </c>
      <c r="B83" s="14" t="n">
        <v>46094</v>
      </c>
      <c r="C83" s="14" t="n">
        <v>46097</v>
      </c>
      <c r="D83" s="87" t="inlineStr">
        <is>
          <t>FERNANDA SILVA DE OLIVEIRA ME</t>
        </is>
      </c>
      <c r="E83" s="87" t="inlineStr">
        <is>
          <t>Bradesco</t>
        </is>
      </c>
      <c r="F83" s="87" t="inlineStr">
        <is>
          <t>John</t>
        </is>
      </c>
      <c r="G83" s="87" t="inlineStr">
        <is>
          <t>Renovação</t>
        </is>
      </c>
      <c r="H83" s="87" t="inlineStr">
        <is>
          <t>Na planilha</t>
        </is>
      </c>
      <c r="I83" s="14" t="n">
        <v>46100</v>
      </c>
      <c r="L83" s="87" t="n"/>
      <c r="M83" s="62" t="n"/>
      <c r="V83" s="87" t="n"/>
      <c r="W83" s="87" t="n"/>
    </row>
    <row r="84" ht="15" customHeight="1" s="83">
      <c r="A84" s="14" t="n">
        <v>46091</v>
      </c>
      <c r="B84" s="14" t="n">
        <v>46094</v>
      </c>
      <c r="C84" s="14" t="n">
        <v>46097</v>
      </c>
      <c r="D84" s="87" t="inlineStr">
        <is>
          <t>RAFF COMERCIO VAREJISTA DE SORVETES LTDA</t>
        </is>
      </c>
      <c r="E84" s="87" t="inlineStr">
        <is>
          <t>Porto</t>
        </is>
      </c>
      <c r="F84" s="87" t="inlineStr">
        <is>
          <t>John</t>
        </is>
      </c>
      <c r="G84" s="87" t="inlineStr">
        <is>
          <t>Renovação</t>
        </is>
      </c>
      <c r="H84" s="87" t="inlineStr">
        <is>
          <t>Assinado</t>
        </is>
      </c>
      <c r="I84" s="14" t="n">
        <v>46100</v>
      </c>
      <c r="L84" s="87" t="n"/>
      <c r="M84" s="62" t="n"/>
      <c r="V84" s="87" t="n"/>
      <c r="W84" s="87" t="n"/>
    </row>
    <row r="85" ht="15" customHeight="1" s="83">
      <c r="A85" s="14" t="n">
        <v>46091</v>
      </c>
      <c r="B85" s="14" t="n">
        <v>46094</v>
      </c>
      <c r="C85" s="14" t="n">
        <v>46097</v>
      </c>
      <c r="D85" s="87" t="inlineStr">
        <is>
          <t>ADRIANA MARQUES DA SILVA SOUZA</t>
        </is>
      </c>
      <c r="E85" s="87" t="inlineStr">
        <is>
          <t>Tokio</t>
        </is>
      </c>
      <c r="F85" s="87" t="inlineStr">
        <is>
          <t>John</t>
        </is>
      </c>
      <c r="G85" s="87" t="inlineStr">
        <is>
          <t>Renovação</t>
        </is>
      </c>
      <c r="H85" s="87" t="inlineStr">
        <is>
          <t>Assinado</t>
        </is>
      </c>
      <c r="I85" s="14" t="n">
        <v>46100</v>
      </c>
      <c r="L85" s="87" t="n"/>
      <c r="M85" s="62" t="n"/>
      <c r="V85" s="87" t="n"/>
      <c r="W85" s="87" t="n"/>
    </row>
    <row r="86" ht="15" customHeight="1" s="83">
      <c r="A86" s="14" t="n">
        <v>46091</v>
      </c>
      <c r="B86" s="14" t="n">
        <v>46094</v>
      </c>
      <c r="C86" s="14" t="n">
        <v>46097</v>
      </c>
      <c r="D86" s="87" t="inlineStr">
        <is>
          <t>ANDERSON LINARES SANTANA</t>
        </is>
      </c>
      <c r="E86" s="87" t="inlineStr">
        <is>
          <t>Tokio</t>
        </is>
      </c>
      <c r="F86" s="87" t="inlineStr">
        <is>
          <t>John</t>
        </is>
      </c>
      <c r="G86" s="87" t="inlineStr">
        <is>
          <t>Renovação</t>
        </is>
      </c>
      <c r="H86" s="87" t="inlineStr">
        <is>
          <t>Assinado</t>
        </is>
      </c>
      <c r="I86" s="14" t="n">
        <v>46100</v>
      </c>
      <c r="L86" s="87" t="n"/>
      <c r="M86" s="62" t="n"/>
      <c r="V86" s="87" t="n"/>
      <c r="W86" s="87" t="n"/>
    </row>
    <row r="87" s="83">
      <c r="A87" s="14" t="n">
        <v>46091</v>
      </c>
      <c r="B87" s="14" t="n">
        <v>46094</v>
      </c>
      <c r="C87" s="14" t="n">
        <v>46097</v>
      </c>
      <c r="D87" s="87" t="inlineStr">
        <is>
          <t>KAIQUE FERNANDES COSTA DOS SANTOS</t>
        </is>
      </c>
      <c r="E87" s="87" t="inlineStr">
        <is>
          <t>Suhai</t>
        </is>
      </c>
      <c r="F87" s="87" t="inlineStr">
        <is>
          <t>John</t>
        </is>
      </c>
      <c r="G87" s="87" t="inlineStr">
        <is>
          <t xml:space="preserve">Novo </t>
        </is>
      </c>
      <c r="H87" s="87" t="inlineStr">
        <is>
          <t>Assinado(manual)</t>
        </is>
      </c>
      <c r="I87" s="14" t="n">
        <v>46100</v>
      </c>
      <c r="L87" s="87" t="n"/>
      <c r="M87" s="62" t="n"/>
      <c r="V87" s="87" t="n"/>
      <c r="W87" s="87" t="n"/>
    </row>
    <row r="88" ht="15" customHeight="1" s="83">
      <c r="A88" s="14" t="n">
        <v>46091</v>
      </c>
      <c r="B88" s="14" t="n">
        <v>46094</v>
      </c>
      <c r="C88" s="14" t="n">
        <v>46097</v>
      </c>
      <c r="D88" s="87" t="inlineStr">
        <is>
          <t>RICARDO ALEXANDRE MANSO DOS SANTOS</t>
        </is>
      </c>
      <c r="E88" s="87" t="inlineStr">
        <is>
          <t>Tokio</t>
        </is>
      </c>
      <c r="F88" s="87" t="inlineStr">
        <is>
          <t>John</t>
        </is>
      </c>
      <c r="G88" s="87" t="inlineStr">
        <is>
          <t>Renovação</t>
        </is>
      </c>
      <c r="H88" s="87" t="inlineStr">
        <is>
          <t>Assinado</t>
        </is>
      </c>
      <c r="I88" s="14" t="n">
        <v>46100</v>
      </c>
      <c r="L88" s="87" t="n"/>
      <c r="M88" s="62" t="n"/>
      <c r="V88" s="87" t="n"/>
      <c r="W88" s="87" t="n"/>
    </row>
    <row r="89" s="83">
      <c r="A89" s="14" t="n">
        <v>46091</v>
      </c>
      <c r="B89" s="14" t="n">
        <v>46094</v>
      </c>
      <c r="C89" s="14" t="n">
        <v>46097</v>
      </c>
      <c r="D89" s="87" t="inlineStr">
        <is>
          <t>JANIO DE SOUZA SOARES</t>
        </is>
      </c>
      <c r="E89" s="87" t="inlineStr">
        <is>
          <t>Tokio</t>
        </is>
      </c>
      <c r="F89" s="87" t="inlineStr">
        <is>
          <t>John</t>
        </is>
      </c>
      <c r="G89" s="87" t="inlineStr">
        <is>
          <t xml:space="preserve">Novo </t>
        </is>
      </c>
      <c r="H89" s="87" t="inlineStr">
        <is>
          <t>Assinado</t>
        </is>
      </c>
      <c r="I89" s="14" t="n">
        <v>46100</v>
      </c>
      <c r="L89" s="87" t="n"/>
      <c r="M89" s="62" t="n"/>
      <c r="V89" s="87" t="n"/>
      <c r="W89" s="87" t="n"/>
    </row>
    <row r="90" s="83">
      <c r="A90" s="14" t="n">
        <v>46091</v>
      </c>
      <c r="B90" s="14" t="n">
        <v>46094</v>
      </c>
      <c r="C90" s="14" t="n">
        <v>46097</v>
      </c>
      <c r="D90" s="87" t="inlineStr">
        <is>
          <t>CESAR SALVINO DO NASCIMENTO</t>
        </is>
      </c>
      <c r="E90" s="87" t="inlineStr">
        <is>
          <t>Suhai</t>
        </is>
      </c>
      <c r="F90" s="87" t="inlineStr">
        <is>
          <t>John</t>
        </is>
      </c>
      <c r="G90" s="87" t="inlineStr">
        <is>
          <t xml:space="preserve">Novo </t>
        </is>
      </c>
      <c r="H90" s="87" t="inlineStr">
        <is>
          <t>Na planilha</t>
        </is>
      </c>
      <c r="I90" s="14" t="n">
        <v>46100</v>
      </c>
      <c r="L90" s="87" t="n"/>
      <c r="M90" s="62" t="n"/>
      <c r="V90" s="87" t="n"/>
      <c r="W90" s="87" t="n"/>
    </row>
    <row r="91" ht="15" customHeight="1" s="83">
      <c r="A91" s="14" t="n">
        <v>46092</v>
      </c>
      <c r="B91" s="14" t="n">
        <v>46095</v>
      </c>
      <c r="C91" s="14" t="n">
        <v>46098</v>
      </c>
      <c r="D91" s="87" t="inlineStr">
        <is>
          <t>EDUARDO CONCEICAO FERREIRA</t>
        </is>
      </c>
      <c r="E91" s="87" t="inlineStr">
        <is>
          <t>Suhai</t>
        </is>
      </c>
      <c r="F91" s="87" t="inlineStr">
        <is>
          <t>John</t>
        </is>
      </c>
      <c r="G91" s="87" t="inlineStr">
        <is>
          <t>Renovação</t>
        </is>
      </c>
      <c r="H91" s="87" t="inlineStr">
        <is>
          <t>Na planilha</t>
        </is>
      </c>
      <c r="I91" s="14" t="n">
        <v>46101</v>
      </c>
    </row>
    <row r="92">
      <c r="A92" s="14" t="n">
        <v>46092</v>
      </c>
      <c r="B92" s="14" t="n">
        <v>46095</v>
      </c>
      <c r="C92" s="14" t="n">
        <v>46098</v>
      </c>
      <c r="D92" s="87" t="inlineStr">
        <is>
          <t>VITORIA SILVA BONI DURANTE</t>
        </is>
      </c>
      <c r="E92" s="87" t="inlineStr">
        <is>
          <t>Porto</t>
        </is>
      </c>
      <c r="F92" s="87" t="inlineStr">
        <is>
          <t>John</t>
        </is>
      </c>
      <c r="G92" s="87" t="inlineStr">
        <is>
          <t xml:space="preserve">Novo </t>
        </is>
      </c>
      <c r="H92" s="87" t="inlineStr">
        <is>
          <t>Assinado</t>
        </is>
      </c>
      <c r="I92" s="14" t="n">
        <v>46101</v>
      </c>
    </row>
    <row r="93">
      <c r="A93" s="14" t="n">
        <v>46092</v>
      </c>
      <c r="B93" s="14" t="n">
        <v>46095</v>
      </c>
      <c r="C93" s="14" t="n">
        <v>46098</v>
      </c>
      <c r="D93" s="87" t="inlineStr">
        <is>
          <t>MARCIA DE LIMA GALIOTTI</t>
        </is>
      </c>
      <c r="E93" s="87" t="inlineStr">
        <is>
          <t>Tokio</t>
        </is>
      </c>
      <c r="F93" s="87" t="inlineStr">
        <is>
          <t>Leticia</t>
        </is>
      </c>
      <c r="G93" s="87" t="inlineStr">
        <is>
          <t xml:space="preserve">Novo </t>
        </is>
      </c>
      <c r="H93" s="87" t="inlineStr">
        <is>
          <t>Assinado</t>
        </is>
      </c>
      <c r="I93" s="14" t="n">
        <v>46101</v>
      </c>
    </row>
    <row r="94">
      <c r="A94" s="14" t="n">
        <v>46092</v>
      </c>
      <c r="B94" s="14" t="n">
        <v>46095</v>
      </c>
      <c r="C94" s="14" t="n">
        <v>46098</v>
      </c>
      <c r="D94" s="87" t="inlineStr">
        <is>
          <t>BERNONDES COSTA DA CRUZ</t>
        </is>
      </c>
      <c r="E94" s="87" t="inlineStr">
        <is>
          <t>Azul</t>
        </is>
      </c>
      <c r="F94" s="87" t="inlineStr">
        <is>
          <t>Myrelle</t>
        </is>
      </c>
      <c r="G94" s="87" t="inlineStr">
        <is>
          <t xml:space="preserve">Novo </t>
        </is>
      </c>
      <c r="H94" s="87" t="inlineStr">
        <is>
          <t>Cancelado</t>
        </is>
      </c>
      <c r="I94" s="14" t="n">
        <v>46101</v>
      </c>
    </row>
    <row r="95">
      <c r="A95" s="14" t="n">
        <v>46092</v>
      </c>
      <c r="B95" s="14" t="n">
        <v>46095</v>
      </c>
      <c r="C95" s="14" t="n">
        <v>46098</v>
      </c>
      <c r="D95" s="87" t="inlineStr">
        <is>
          <t>FABIO FRANCA BISPO PINHEIRO</t>
        </is>
      </c>
      <c r="E95" s="87" t="inlineStr">
        <is>
          <t>Suhai</t>
        </is>
      </c>
      <c r="F95" s="87" t="inlineStr">
        <is>
          <t>Jacqueline</t>
        </is>
      </c>
      <c r="G95" s="87" t="inlineStr">
        <is>
          <t xml:space="preserve">Novo </t>
        </is>
      </c>
      <c r="H95" s="87" t="inlineStr">
        <is>
          <t>Assinado</t>
        </is>
      </c>
      <c r="I95" s="14" t="n">
        <v>46101</v>
      </c>
    </row>
    <row r="96">
      <c r="A96" s="14" t="n">
        <v>46092</v>
      </c>
      <c r="B96" s="14" t="n">
        <v>46095</v>
      </c>
      <c r="C96" s="14" t="n">
        <v>46098</v>
      </c>
      <c r="D96" s="87" t="inlineStr">
        <is>
          <t>BATISTA FERREIRA DOS SANTOS</t>
        </is>
      </c>
      <c r="E96" s="87" t="inlineStr">
        <is>
          <t>Porto</t>
        </is>
      </c>
      <c r="F96" s="87" t="inlineStr">
        <is>
          <t>Jacqueline</t>
        </is>
      </c>
      <c r="G96" s="87" t="inlineStr">
        <is>
          <t xml:space="preserve">Novo </t>
        </is>
      </c>
      <c r="H96" s="87" t="inlineStr">
        <is>
          <t>Cancelado</t>
        </is>
      </c>
      <c r="I96" s="14" t="n">
        <v>46101</v>
      </c>
    </row>
    <row r="97">
      <c r="A97" s="14" t="n">
        <v>46092</v>
      </c>
      <c r="B97" s="14" t="n">
        <v>46095</v>
      </c>
      <c r="C97" s="14" t="n">
        <v>46098</v>
      </c>
      <c r="D97" s="87" t="inlineStr">
        <is>
          <t>CARLA LUIZA DE JESUS GERONYMO</t>
        </is>
      </c>
      <c r="E97" s="87" t="inlineStr">
        <is>
          <t>Azul</t>
        </is>
      </c>
      <c r="F97" s="87" t="inlineStr">
        <is>
          <t>Leticia</t>
        </is>
      </c>
      <c r="G97" s="87" t="inlineStr">
        <is>
          <t xml:space="preserve">Novo </t>
        </is>
      </c>
      <c r="H97" s="87" t="inlineStr">
        <is>
          <t>Assinado</t>
        </is>
      </c>
      <c r="I97" s="14" t="n">
        <v>46101</v>
      </c>
    </row>
    <row r="98">
      <c r="A98" s="14" t="n">
        <v>46092</v>
      </c>
      <c r="B98" s="14" t="n">
        <v>46095</v>
      </c>
      <c r="C98" s="14" t="n">
        <v>46098</v>
      </c>
      <c r="D98" s="87" t="inlineStr">
        <is>
          <t>LUIZ CARLOS PECORARO</t>
        </is>
      </c>
      <c r="E98" s="87" t="inlineStr">
        <is>
          <t>Porto</t>
        </is>
      </c>
      <c r="F98" s="87" t="inlineStr">
        <is>
          <t>Leticia</t>
        </is>
      </c>
      <c r="G98" s="87" t="inlineStr">
        <is>
          <t xml:space="preserve">Novo </t>
        </is>
      </c>
      <c r="H98" s="87" t="inlineStr">
        <is>
          <t>Na planilha</t>
        </is>
      </c>
      <c r="I98" s="14" t="n">
        <v>46101</v>
      </c>
    </row>
    <row r="99">
      <c r="A99" s="14" t="n">
        <v>46092</v>
      </c>
      <c r="B99" s="14" t="n">
        <v>46095</v>
      </c>
      <c r="C99" s="14" t="n">
        <v>46098</v>
      </c>
      <c r="D99" s="87" t="inlineStr">
        <is>
          <t>MARIA DE FATIMA OLIVEIRA DA SILVA</t>
        </is>
      </c>
      <c r="E99" s="87" t="inlineStr">
        <is>
          <t>Mapfre</t>
        </is>
      </c>
      <c r="F99" s="87" t="inlineStr">
        <is>
          <t>Myrelle</t>
        </is>
      </c>
      <c r="G99" s="87" t="inlineStr">
        <is>
          <t xml:space="preserve">Novo </t>
        </is>
      </c>
      <c r="H99" s="87" t="inlineStr">
        <is>
          <t>Cancelado</t>
        </is>
      </c>
      <c r="I99" s="14" t="n">
        <v>46101</v>
      </c>
    </row>
    <row r="100">
      <c r="A100" s="14" t="n">
        <v>46092</v>
      </c>
      <c r="B100" s="14" t="n">
        <v>46095</v>
      </c>
      <c r="C100" s="14" t="n">
        <v>46098</v>
      </c>
      <c r="D100" s="87" t="inlineStr">
        <is>
          <t>DECIO MARTINS GOMES</t>
        </is>
      </c>
      <c r="E100" s="87" t="inlineStr">
        <is>
          <t>Azul</t>
        </is>
      </c>
      <c r="F100" s="87" t="inlineStr">
        <is>
          <t>Enzo</t>
        </is>
      </c>
      <c r="G100" s="87" t="inlineStr">
        <is>
          <t xml:space="preserve">Novo </t>
        </is>
      </c>
      <c r="H100" s="87" t="inlineStr">
        <is>
          <t>Na planilha</t>
        </is>
      </c>
      <c r="I100" s="14" t="n">
        <v>46101</v>
      </c>
    </row>
    <row r="101">
      <c r="A101" s="14" t="n">
        <v>46092</v>
      </c>
      <c r="B101" s="14" t="n">
        <v>46095</v>
      </c>
      <c r="C101" s="14" t="n">
        <v>46098</v>
      </c>
      <c r="D101" s="87" t="inlineStr">
        <is>
          <t>SIMONE FRANCO DE OLIVEIRA</t>
        </is>
      </c>
      <c r="E101" s="87" t="inlineStr">
        <is>
          <t>Azul</t>
        </is>
      </c>
      <c r="F101" s="87" t="inlineStr">
        <is>
          <t>Enzo</t>
        </is>
      </c>
      <c r="G101" s="87" t="inlineStr">
        <is>
          <t xml:space="preserve">Novo </t>
        </is>
      </c>
      <c r="H101" s="87" t="inlineStr">
        <is>
          <t>Assinado</t>
        </is>
      </c>
      <c r="I101" s="14" t="n">
        <v>46101</v>
      </c>
    </row>
    <row r="102">
      <c r="A102" s="14" t="n">
        <v>46092</v>
      </c>
      <c r="B102" s="14" t="n">
        <v>46095</v>
      </c>
      <c r="C102" s="14" t="n">
        <v>46098</v>
      </c>
      <c r="D102" s="87" t="inlineStr">
        <is>
          <t>WOSNEY DIAS DE PAIVA MOREIRA</t>
        </is>
      </c>
      <c r="E102" s="87" t="inlineStr">
        <is>
          <t>Tokio</t>
        </is>
      </c>
      <c r="F102" s="87" t="inlineStr">
        <is>
          <t>Enzo</t>
        </is>
      </c>
      <c r="G102" s="87" t="inlineStr">
        <is>
          <t xml:space="preserve">Novo </t>
        </is>
      </c>
      <c r="H102" s="87" t="inlineStr">
        <is>
          <t>Assinado</t>
        </is>
      </c>
      <c r="I102" s="14" t="n">
        <v>46101</v>
      </c>
    </row>
    <row r="103">
      <c r="A103" s="14" t="n">
        <v>46093</v>
      </c>
      <c r="B103" s="14" t="n">
        <v>46096</v>
      </c>
      <c r="C103" s="14" t="n">
        <v>46099</v>
      </c>
      <c r="D103" s="87" t="inlineStr">
        <is>
          <t>APARECIDO THEODORO</t>
        </is>
      </c>
      <c r="E103" s="87" t="inlineStr">
        <is>
          <t>Azul</t>
        </is>
      </c>
      <c r="F103" s="87" t="inlineStr">
        <is>
          <t>Jacqueline</t>
        </is>
      </c>
      <c r="G103" s="87" t="inlineStr">
        <is>
          <t xml:space="preserve">Novo </t>
        </is>
      </c>
      <c r="H103" s="87" t="inlineStr">
        <is>
          <t>Cancelado</t>
        </is>
      </c>
      <c r="I103" s="14" t="n">
        <v>46102</v>
      </c>
    </row>
    <row r="104" ht="15" customHeight="1" s="83">
      <c r="A104" s="14" t="n">
        <v>46093</v>
      </c>
      <c r="B104" s="14" t="n">
        <v>46096</v>
      </c>
      <c r="C104" s="14" t="n">
        <v>46099</v>
      </c>
      <c r="D104" s="87" t="inlineStr">
        <is>
          <t>REGINA LUISA FERNANDES BARROS ALVES</t>
        </is>
      </c>
      <c r="E104" s="87" t="inlineStr">
        <is>
          <t>Porto</t>
        </is>
      </c>
      <c r="F104" s="87" t="inlineStr">
        <is>
          <t>John</t>
        </is>
      </c>
      <c r="G104" s="87" t="inlineStr">
        <is>
          <t>Renovação</t>
        </is>
      </c>
      <c r="H104" s="87" t="inlineStr">
        <is>
          <t>Assinado</t>
        </is>
      </c>
      <c r="I104" s="14" t="n">
        <v>46102</v>
      </c>
    </row>
    <row r="105" ht="15" customHeight="1" s="83">
      <c r="A105" s="14" t="n">
        <v>46093</v>
      </c>
      <c r="B105" s="14" t="n">
        <v>46096</v>
      </c>
      <c r="C105" s="14" t="n">
        <v>46099</v>
      </c>
      <c r="D105" s="87" t="inlineStr">
        <is>
          <t>PEDRO RAFAEL DE MENEZES FRANCA</t>
        </is>
      </c>
      <c r="E105" s="87" t="inlineStr">
        <is>
          <t>Porto</t>
        </is>
      </c>
      <c r="F105" s="87" t="inlineStr">
        <is>
          <t>John</t>
        </is>
      </c>
      <c r="G105" s="87" t="inlineStr">
        <is>
          <t>Renovação</t>
        </is>
      </c>
      <c r="H105" s="87" t="inlineStr">
        <is>
          <t>Assinado</t>
        </is>
      </c>
      <c r="I105" s="14" t="n">
        <v>46102</v>
      </c>
    </row>
    <row r="106">
      <c r="A106" s="14" t="n">
        <v>46093</v>
      </c>
      <c r="B106" s="14" t="n">
        <v>46096</v>
      </c>
      <c r="C106" s="14" t="n">
        <v>46099</v>
      </c>
      <c r="D106" s="87" t="inlineStr">
        <is>
          <t>VANER MENDES DA SILVA</t>
        </is>
      </c>
      <c r="E106" s="87" t="inlineStr">
        <is>
          <t>Azul</t>
        </is>
      </c>
      <c r="F106" s="87" t="inlineStr">
        <is>
          <t>John</t>
        </is>
      </c>
      <c r="G106" s="87" t="inlineStr">
        <is>
          <t xml:space="preserve">Novo </t>
        </is>
      </c>
      <c r="H106" s="87" t="inlineStr">
        <is>
          <t>Assinado</t>
        </is>
      </c>
      <c r="I106" s="14" t="n">
        <v>46102</v>
      </c>
    </row>
    <row r="107">
      <c r="A107" s="14" t="n">
        <v>46093</v>
      </c>
      <c r="B107" s="14" t="n">
        <v>46096</v>
      </c>
      <c r="C107" s="14" t="n">
        <v>46099</v>
      </c>
      <c r="D107" s="87" t="inlineStr">
        <is>
          <t>EDMUNDO MARQUES DE SOUSA</t>
        </is>
      </c>
      <c r="E107" s="87" t="inlineStr">
        <is>
          <t>Azul</t>
        </is>
      </c>
      <c r="F107" s="87" t="inlineStr">
        <is>
          <t>Leticia</t>
        </is>
      </c>
      <c r="G107" s="87" t="inlineStr">
        <is>
          <t xml:space="preserve">Novo </t>
        </is>
      </c>
      <c r="H107" s="87" t="inlineStr">
        <is>
          <t>Na planilha</t>
        </is>
      </c>
      <c r="I107" s="14" t="n">
        <v>46102</v>
      </c>
    </row>
    <row r="108">
      <c r="A108" s="14" t="n">
        <v>46093</v>
      </c>
      <c r="B108" s="14" t="n">
        <v>46096</v>
      </c>
      <c r="C108" s="14" t="n">
        <v>46099</v>
      </c>
      <c r="D108" s="87" t="inlineStr">
        <is>
          <t>EDUARDO PINHO DOS SANTOS</t>
        </is>
      </c>
      <c r="E108" s="87" t="inlineStr">
        <is>
          <t>Suhai</t>
        </is>
      </c>
      <c r="F108" s="87" t="inlineStr">
        <is>
          <t>Jéssica</t>
        </is>
      </c>
      <c r="G108" s="87" t="inlineStr">
        <is>
          <t xml:space="preserve">Novo </t>
        </is>
      </c>
      <c r="H108" s="87" t="inlineStr">
        <is>
          <t>Assinado(manual)</t>
        </is>
      </c>
      <c r="I108" s="14" t="n">
        <v>46102</v>
      </c>
    </row>
    <row r="109">
      <c r="A109" s="14" t="n">
        <v>46093</v>
      </c>
      <c r="B109" s="14" t="n">
        <v>46096</v>
      </c>
      <c r="C109" s="14" t="n">
        <v>46099</v>
      </c>
      <c r="D109" s="87" t="inlineStr">
        <is>
          <t>DIONISIO PEREIRA DOS SANTOS</t>
        </is>
      </c>
      <c r="E109" s="87" t="inlineStr">
        <is>
          <t>Mapfre</t>
        </is>
      </c>
      <c r="F109" s="87" t="inlineStr">
        <is>
          <t>Jéssica</t>
        </is>
      </c>
      <c r="G109" s="87" t="inlineStr">
        <is>
          <t xml:space="preserve">Novo </t>
        </is>
      </c>
      <c r="H109" s="87" t="inlineStr">
        <is>
          <t>Cancelado</t>
        </is>
      </c>
      <c r="I109" s="14" t="n">
        <v>46102</v>
      </c>
    </row>
    <row r="110">
      <c r="A110" s="14" t="n">
        <v>46093</v>
      </c>
      <c r="B110" s="14" t="n">
        <v>46096</v>
      </c>
      <c r="C110" s="14" t="n">
        <v>46099</v>
      </c>
      <c r="D110" s="87" t="inlineStr">
        <is>
          <t>FLORISVALDO SANTOS NEPOMUCENO</t>
        </is>
      </c>
      <c r="E110" s="87" t="inlineStr">
        <is>
          <t>Porto</t>
        </is>
      </c>
      <c r="F110" s="87" t="inlineStr">
        <is>
          <t>Leticia</t>
        </is>
      </c>
      <c r="G110" s="87" t="inlineStr">
        <is>
          <t xml:space="preserve">Novo </t>
        </is>
      </c>
      <c r="H110" s="87" t="inlineStr">
        <is>
          <t>Assinado</t>
        </is>
      </c>
      <c r="I110" s="14" t="n">
        <v>46102</v>
      </c>
    </row>
    <row r="111">
      <c r="A111" s="14" t="n">
        <v>46093</v>
      </c>
      <c r="B111" s="14" t="n">
        <v>46096</v>
      </c>
      <c r="C111" s="14" t="n">
        <v>46099</v>
      </c>
      <c r="D111" s="87" t="inlineStr">
        <is>
          <t>AMANDA DA CRUZ SALES</t>
        </is>
      </c>
      <c r="E111" s="87" t="inlineStr">
        <is>
          <t>Suhai</t>
        </is>
      </c>
      <c r="F111" s="87" t="inlineStr">
        <is>
          <t>John</t>
        </is>
      </c>
      <c r="G111" s="87" t="inlineStr">
        <is>
          <t xml:space="preserve">Novo </t>
        </is>
      </c>
      <c r="H111" s="87" t="inlineStr">
        <is>
          <t>Na planilha</t>
        </is>
      </c>
      <c r="I111" s="14" t="n">
        <v>46102</v>
      </c>
    </row>
    <row r="112">
      <c r="A112" s="14" t="n">
        <v>46093</v>
      </c>
      <c r="B112" s="14" t="n">
        <v>46096</v>
      </c>
      <c r="C112" s="14" t="n">
        <v>46099</v>
      </c>
      <c r="D112" s="87" t="inlineStr">
        <is>
          <t>RONE RODRIGUES DA SILVA</t>
        </is>
      </c>
      <c r="E112" s="87" t="inlineStr">
        <is>
          <t>Tokio</t>
        </is>
      </c>
      <c r="F112" s="87" t="inlineStr">
        <is>
          <t>Leticia</t>
        </is>
      </c>
      <c r="G112" s="87" t="inlineStr">
        <is>
          <t xml:space="preserve">Novo </t>
        </is>
      </c>
      <c r="H112" s="87" t="inlineStr">
        <is>
          <t>Na planilha</t>
        </is>
      </c>
      <c r="I112" s="14" t="n">
        <v>46103</v>
      </c>
    </row>
    <row r="113">
      <c r="A113" s="14" t="n">
        <v>46094</v>
      </c>
      <c r="B113" s="14" t="n">
        <v>46097</v>
      </c>
      <c r="C113" s="14" t="n">
        <v>46100</v>
      </c>
      <c r="D113" s="87" t="inlineStr">
        <is>
          <t>ADRIANO DE OLIVEIRA GOMES</t>
        </is>
      </c>
      <c r="E113" s="87" t="inlineStr">
        <is>
          <t>Suhai</t>
        </is>
      </c>
      <c r="F113" s="87" t="inlineStr">
        <is>
          <t>John</t>
        </is>
      </c>
      <c r="G113" s="87" t="inlineStr">
        <is>
          <t xml:space="preserve">Novo </t>
        </is>
      </c>
      <c r="H113" s="87" t="inlineStr">
        <is>
          <t>Assinado</t>
        </is>
      </c>
      <c r="I113" s="14" t="n">
        <v>46103</v>
      </c>
    </row>
    <row r="114">
      <c r="A114" s="14" t="n">
        <v>46094</v>
      </c>
      <c r="B114" s="14" t="n">
        <v>46097</v>
      </c>
      <c r="C114" s="14" t="n">
        <v>46100</v>
      </c>
      <c r="D114" s="87" t="inlineStr">
        <is>
          <t>BRUNO ALBERO DE REZENDE</t>
        </is>
      </c>
      <c r="E114" s="87" t="inlineStr">
        <is>
          <t>Suhai</t>
        </is>
      </c>
      <c r="F114" s="87" t="inlineStr">
        <is>
          <t>Myrelle</t>
        </is>
      </c>
      <c r="G114" s="87" t="inlineStr">
        <is>
          <t xml:space="preserve">Novo </t>
        </is>
      </c>
      <c r="H114" s="87" t="inlineStr">
        <is>
          <t>Na planilha</t>
        </is>
      </c>
      <c r="I114" s="14" t="n">
        <v>46103</v>
      </c>
    </row>
    <row r="115">
      <c r="A115" s="14" t="n">
        <v>46094</v>
      </c>
      <c r="B115" s="14" t="n">
        <v>46097</v>
      </c>
      <c r="C115" s="14" t="n">
        <v>46100</v>
      </c>
      <c r="D115" s="87" t="inlineStr">
        <is>
          <t>VALDO RIBEIRO</t>
        </is>
      </c>
      <c r="E115" s="87" t="inlineStr">
        <is>
          <t>Suhai</t>
        </is>
      </c>
      <c r="F115" s="87" t="inlineStr">
        <is>
          <t>Jacqueline</t>
        </is>
      </c>
      <c r="G115" s="87" t="inlineStr">
        <is>
          <t xml:space="preserve">Novo </t>
        </is>
      </c>
      <c r="H115" s="87" t="inlineStr">
        <is>
          <t>Na planilha</t>
        </is>
      </c>
      <c r="I115" s="14" t="n">
        <v>46103</v>
      </c>
    </row>
    <row r="116">
      <c r="A116" s="14" t="n">
        <v>46094</v>
      </c>
      <c r="B116" s="14" t="n">
        <v>46097</v>
      </c>
      <c r="C116" s="14" t="n">
        <v>46100</v>
      </c>
      <c r="D116" s="87" t="inlineStr">
        <is>
          <t>VIVIANE SILVA DOS SANTOS</t>
        </is>
      </c>
      <c r="E116" s="87" t="inlineStr">
        <is>
          <t>Tokio</t>
        </is>
      </c>
      <c r="F116" s="87" t="inlineStr">
        <is>
          <t>Jacqueline</t>
        </is>
      </c>
      <c r="G116" s="87" t="inlineStr">
        <is>
          <t xml:space="preserve">Novo </t>
        </is>
      </c>
      <c r="H116" s="87" t="inlineStr">
        <is>
          <t>Na planilha</t>
        </is>
      </c>
      <c r="I116" s="14" t="n">
        <v>46103</v>
      </c>
    </row>
    <row r="117">
      <c r="A117" s="14" t="n">
        <v>46094</v>
      </c>
      <c r="B117" s="14" t="n">
        <v>46097</v>
      </c>
      <c r="C117" s="14" t="n">
        <v>46100</v>
      </c>
      <c r="D117" s="87" t="inlineStr">
        <is>
          <t>MILENE MARIA DA CONCEICAO</t>
        </is>
      </c>
      <c r="E117" s="87" t="inlineStr">
        <is>
          <t>Azul</t>
        </is>
      </c>
      <c r="F117" s="87" t="inlineStr">
        <is>
          <t>Jacqueline</t>
        </is>
      </c>
      <c r="G117" s="87" t="inlineStr">
        <is>
          <t xml:space="preserve">Novo </t>
        </is>
      </c>
      <c r="H117" s="87" t="inlineStr">
        <is>
          <t>Assinado</t>
        </is>
      </c>
      <c r="I117" s="14" t="n">
        <v>46103</v>
      </c>
    </row>
    <row r="118">
      <c r="A118" s="14" t="n">
        <v>46094</v>
      </c>
      <c r="B118" s="14" t="n">
        <v>46097</v>
      </c>
      <c r="C118" s="14" t="n">
        <v>46100</v>
      </c>
      <c r="D118" s="87" t="inlineStr">
        <is>
          <t>JURANDIR JOAO DA SILVA</t>
        </is>
      </c>
      <c r="E118" s="87" t="inlineStr">
        <is>
          <t>Azul</t>
        </is>
      </c>
      <c r="F118" s="87" t="inlineStr">
        <is>
          <t>Enzo</t>
        </is>
      </c>
      <c r="G118" s="87" t="inlineStr">
        <is>
          <t xml:space="preserve">Novo </t>
        </is>
      </c>
      <c r="H118" s="87" t="inlineStr">
        <is>
          <t>Assinado</t>
        </is>
      </c>
      <c r="I118" s="14" t="n">
        <v>46103</v>
      </c>
    </row>
    <row r="119">
      <c r="A119" s="14" t="n">
        <v>46094</v>
      </c>
      <c r="B119" s="14" t="n">
        <v>46097</v>
      </c>
      <c r="C119" s="14" t="n">
        <v>46100</v>
      </c>
      <c r="D119" s="87" t="inlineStr">
        <is>
          <t>DANIEL BISPO DOS SANTOS</t>
        </is>
      </c>
      <c r="E119" s="87" t="inlineStr">
        <is>
          <t>Suhai</t>
        </is>
      </c>
      <c r="F119" s="87" t="inlineStr">
        <is>
          <t>Enzo</t>
        </is>
      </c>
      <c r="G119" s="87" t="inlineStr">
        <is>
          <t xml:space="preserve">Novo </t>
        </is>
      </c>
      <c r="H119" s="87" t="inlineStr">
        <is>
          <t>Assinado</t>
        </is>
      </c>
      <c r="I119" s="14" t="n">
        <v>46103</v>
      </c>
    </row>
    <row r="120">
      <c r="A120" s="14" t="n">
        <v>46094</v>
      </c>
      <c r="B120" s="14" t="n">
        <v>46097</v>
      </c>
      <c r="C120" s="14" t="n">
        <v>46100</v>
      </c>
      <c r="D120" s="87" t="inlineStr">
        <is>
          <t>IZAQUIEL COSTA DA SILVA</t>
        </is>
      </c>
      <c r="E120" s="87" t="inlineStr">
        <is>
          <t>Azul</t>
        </is>
      </c>
      <c r="F120" s="87" t="inlineStr">
        <is>
          <t>Jacqueline</t>
        </is>
      </c>
      <c r="G120" s="87" t="inlineStr">
        <is>
          <t xml:space="preserve">Novo </t>
        </is>
      </c>
      <c r="H120" s="87" t="inlineStr">
        <is>
          <t>Assinado</t>
        </is>
      </c>
      <c r="I120" s="14" t="n">
        <v>46103</v>
      </c>
    </row>
    <row r="121">
      <c r="A121" s="14" t="n">
        <v>46094</v>
      </c>
      <c r="B121" s="14" t="n">
        <v>46097</v>
      </c>
      <c r="C121" s="14" t="n">
        <v>46100</v>
      </c>
      <c r="D121" s="87" t="inlineStr">
        <is>
          <t>ISLOM JANUARIO ASSUNCAO</t>
        </is>
      </c>
      <c r="E121" s="87" t="inlineStr">
        <is>
          <t>Tokio</t>
        </is>
      </c>
      <c r="F121" s="87" t="inlineStr">
        <is>
          <t>John</t>
        </is>
      </c>
      <c r="G121" s="87" t="inlineStr">
        <is>
          <t xml:space="preserve">Novo </t>
        </is>
      </c>
      <c r="H121" s="87" t="inlineStr">
        <is>
          <t>Assinado</t>
        </is>
      </c>
      <c r="I121" s="14" t="n">
        <v>46103</v>
      </c>
    </row>
    <row r="122">
      <c r="A122" s="14" t="n">
        <v>46094</v>
      </c>
      <c r="B122" s="14" t="n">
        <v>46097</v>
      </c>
      <c r="C122" s="14" t="n">
        <v>46100</v>
      </c>
      <c r="D122" s="87" t="inlineStr">
        <is>
          <t>ROGERIO TAKESHI SATO</t>
        </is>
      </c>
      <c r="E122" s="87" t="inlineStr">
        <is>
          <t>Suhai</t>
        </is>
      </c>
      <c r="F122" s="87" t="inlineStr">
        <is>
          <t>John</t>
        </is>
      </c>
      <c r="G122" s="87" t="inlineStr">
        <is>
          <t xml:space="preserve">Novo </t>
        </is>
      </c>
      <c r="H122" s="87" t="inlineStr">
        <is>
          <t>Assinado</t>
        </is>
      </c>
      <c r="I122" s="14" t="n">
        <v>46103</v>
      </c>
    </row>
    <row r="123">
      <c r="A123" s="14" t="n">
        <v>46094</v>
      </c>
      <c r="B123" s="14" t="n">
        <v>46097</v>
      </c>
      <c r="C123" s="14" t="n">
        <v>46100</v>
      </c>
      <c r="D123" s="87" t="inlineStr">
        <is>
          <t>OSIRIS AUGUSTO PASSARELLI DE MORAES</t>
        </is>
      </c>
      <c r="E123" s="87" t="inlineStr">
        <is>
          <t>Itaú</t>
        </is>
      </c>
      <c r="F123" s="87" t="inlineStr">
        <is>
          <t>Enzo</t>
        </is>
      </c>
      <c r="G123" s="87" t="inlineStr">
        <is>
          <t xml:space="preserve">Novo </t>
        </is>
      </c>
      <c r="H123" s="87" t="inlineStr">
        <is>
          <t>Na planilha</t>
        </is>
      </c>
      <c r="I123" s="14" t="n">
        <v>46103</v>
      </c>
    </row>
    <row r="124">
      <c r="A124" s="14" t="n">
        <v>46094</v>
      </c>
      <c r="B124" s="14" t="n">
        <v>46097</v>
      </c>
      <c r="C124" s="14" t="n">
        <v>46100</v>
      </c>
      <c r="D124" s="87" t="inlineStr">
        <is>
          <t>PATRICIA SILVA DE BRITO</t>
        </is>
      </c>
      <c r="E124" s="87" t="inlineStr">
        <is>
          <t>Azul</t>
        </is>
      </c>
      <c r="F124" s="87" t="inlineStr">
        <is>
          <t>Enzo</t>
        </is>
      </c>
      <c r="G124" s="87" t="inlineStr">
        <is>
          <t xml:space="preserve">Novo </t>
        </is>
      </c>
      <c r="H124" s="87" t="inlineStr">
        <is>
          <t>Assinado</t>
        </is>
      </c>
      <c r="I124" s="14" t="n">
        <v>46103</v>
      </c>
    </row>
    <row r="125">
      <c r="A125" s="14" t="n">
        <v>46094</v>
      </c>
      <c r="B125" s="14" t="n">
        <v>46097</v>
      </c>
      <c r="C125" s="14" t="n">
        <v>46100</v>
      </c>
      <c r="D125" s="87" t="inlineStr">
        <is>
          <t>TANIA REGINA SANTORSULA</t>
        </is>
      </c>
      <c r="E125" s="87" t="inlineStr">
        <is>
          <t>Azul</t>
        </is>
      </c>
      <c r="F125" s="87" t="inlineStr">
        <is>
          <t>Jacqueline</t>
        </is>
      </c>
      <c r="G125" s="87" t="inlineStr">
        <is>
          <t xml:space="preserve">Novo </t>
        </is>
      </c>
      <c r="H125" s="87" t="inlineStr">
        <is>
          <t>Assinado</t>
        </is>
      </c>
      <c r="I125" s="14" t="n">
        <v>46103</v>
      </c>
    </row>
    <row r="126">
      <c r="A126" s="14" t="n">
        <v>46097</v>
      </c>
      <c r="B126" s="14" t="n">
        <v>46100</v>
      </c>
      <c r="C126" s="14" t="n">
        <v>46103</v>
      </c>
      <c r="D126" s="87" t="inlineStr">
        <is>
          <t>NADJA SILVA DOS SANTOS ANTONIETTI</t>
        </is>
      </c>
      <c r="E126" s="87" t="inlineStr">
        <is>
          <t>Porto</t>
        </is>
      </c>
      <c r="F126" s="87" t="inlineStr">
        <is>
          <t>Jéssica</t>
        </is>
      </c>
      <c r="G126" s="87" t="inlineStr">
        <is>
          <t xml:space="preserve">Novo </t>
        </is>
      </c>
      <c r="H126" s="87" t="inlineStr">
        <is>
          <t>Assinado(manual)</t>
        </is>
      </c>
      <c r="I126" s="14" t="n">
        <v>46078</v>
      </c>
    </row>
    <row r="127">
      <c r="A127" s="14" t="n">
        <v>46097</v>
      </c>
      <c r="B127" s="14" t="n">
        <v>46100</v>
      </c>
      <c r="C127" s="14" t="n">
        <v>46103</v>
      </c>
      <c r="D127" s="87" t="inlineStr">
        <is>
          <t>RONALDO BARRERO</t>
        </is>
      </c>
      <c r="E127" s="87" t="inlineStr">
        <is>
          <t>Azul</t>
        </is>
      </c>
      <c r="F127" s="87" t="inlineStr">
        <is>
          <t>Leticia</t>
        </is>
      </c>
      <c r="G127" s="87" t="inlineStr">
        <is>
          <t xml:space="preserve">Novo </t>
        </is>
      </c>
      <c r="H127" s="87" t="inlineStr">
        <is>
          <t>Assinado</t>
        </is>
      </c>
      <c r="I127" s="14" t="n">
        <v>46078</v>
      </c>
    </row>
    <row r="128">
      <c r="A128" s="14" t="n">
        <v>46097</v>
      </c>
      <c r="B128" s="14" t="n">
        <v>46100</v>
      </c>
      <c r="C128" s="14" t="n">
        <v>46103</v>
      </c>
      <c r="D128" s="87" t="inlineStr">
        <is>
          <t>HEBER FERREIRA NUNES</t>
        </is>
      </c>
      <c r="E128" s="87" t="inlineStr">
        <is>
          <t>Azul</t>
        </is>
      </c>
      <c r="F128" s="87" t="inlineStr">
        <is>
          <t>John</t>
        </is>
      </c>
      <c r="G128" s="87" t="inlineStr">
        <is>
          <t xml:space="preserve">Novo </t>
        </is>
      </c>
      <c r="H128" s="87" t="inlineStr">
        <is>
          <t>Assinado</t>
        </is>
      </c>
      <c r="I128" s="14" t="n">
        <v>46078</v>
      </c>
    </row>
    <row r="129" ht="15" customHeight="1" s="83">
      <c r="A129" s="14" t="n">
        <v>46098</v>
      </c>
      <c r="B129" s="14" t="n">
        <v>46101</v>
      </c>
      <c r="C129" s="14" t="n">
        <v>46104</v>
      </c>
      <c r="D129" s="87" t="inlineStr">
        <is>
          <t>NICOLLY ALVES PEREIRA</t>
        </is>
      </c>
      <c r="E129" s="87" t="inlineStr">
        <is>
          <t>Porto</t>
        </is>
      </c>
      <c r="F129" s="87" t="inlineStr">
        <is>
          <t>Myrelle</t>
        </is>
      </c>
      <c r="G129" s="87" t="inlineStr">
        <is>
          <t xml:space="preserve">Novo </t>
        </is>
      </c>
      <c r="H129" s="87" t="inlineStr">
        <is>
          <t>Assinado</t>
        </is>
      </c>
      <c r="I129" s="60" t="n">
        <v>46079</v>
      </c>
    </row>
    <row r="130" ht="15" customHeight="1" s="83">
      <c r="A130" s="14" t="n">
        <v>46098</v>
      </c>
      <c r="B130" s="14" t="n">
        <v>46101</v>
      </c>
      <c r="C130" s="14" t="n">
        <v>46104</v>
      </c>
      <c r="D130" s="87" t="inlineStr">
        <is>
          <t>FABBIO TARSITANO</t>
        </is>
      </c>
      <c r="E130" s="87" t="inlineStr">
        <is>
          <t>Suhai</t>
        </is>
      </c>
      <c r="F130" s="87" t="inlineStr">
        <is>
          <t>John</t>
        </is>
      </c>
      <c r="G130" s="87" t="inlineStr">
        <is>
          <t xml:space="preserve">Novo </t>
        </is>
      </c>
      <c r="H130" s="87" t="inlineStr">
        <is>
          <t>Assinado</t>
        </is>
      </c>
      <c r="I130" s="60" t="n">
        <v>46079</v>
      </c>
    </row>
    <row r="131" ht="15" customHeight="1" s="83">
      <c r="A131" s="14" t="n">
        <v>46098</v>
      </c>
      <c r="B131" s="14" t="n">
        <v>46101</v>
      </c>
      <c r="C131" s="14" t="n">
        <v>46104</v>
      </c>
      <c r="D131" s="87" t="inlineStr">
        <is>
          <t>ANTONIO SOARES DOS SANTOS FILHO</t>
        </is>
      </c>
      <c r="E131" s="87" t="inlineStr">
        <is>
          <t>Tokio</t>
        </is>
      </c>
      <c r="F131" s="87" t="inlineStr">
        <is>
          <t>John</t>
        </is>
      </c>
      <c r="G131" s="87" t="inlineStr">
        <is>
          <t>Renovação</t>
        </is>
      </c>
      <c r="H131" s="87" t="inlineStr">
        <is>
          <t>Na planilha</t>
        </is>
      </c>
      <c r="I131" s="60" t="n">
        <v>46079</v>
      </c>
    </row>
    <row r="132" ht="15" customHeight="1" s="83">
      <c r="A132" s="14" t="n">
        <v>46098</v>
      </c>
      <c r="B132" s="14" t="n">
        <v>46101</v>
      </c>
      <c r="C132" s="14" t="n">
        <v>46104</v>
      </c>
      <c r="D132" s="87" t="inlineStr">
        <is>
          <t>WILTON DE FATIMA SOUZA</t>
        </is>
      </c>
      <c r="E132" s="87" t="inlineStr">
        <is>
          <t>Suhai</t>
        </is>
      </c>
      <c r="F132" s="87" t="inlineStr">
        <is>
          <t>John</t>
        </is>
      </c>
      <c r="G132" s="87" t="inlineStr">
        <is>
          <t xml:space="preserve">Novo </t>
        </is>
      </c>
      <c r="H132" s="87" t="inlineStr">
        <is>
          <t>Assinado</t>
        </is>
      </c>
      <c r="I132" s="60" t="n">
        <v>46079</v>
      </c>
    </row>
    <row r="133" ht="15" customHeight="1" s="83">
      <c r="A133" s="14" t="n">
        <v>46098</v>
      </c>
      <c r="B133" s="14" t="n">
        <v>46101</v>
      </c>
      <c r="C133" s="14" t="n">
        <v>46104</v>
      </c>
      <c r="D133" s="87" t="inlineStr">
        <is>
          <t>BRUNO DIAS GOMES</t>
        </is>
      </c>
      <c r="E133" s="87" t="inlineStr">
        <is>
          <t>Tokio</t>
        </is>
      </c>
      <c r="F133" s="87" t="inlineStr">
        <is>
          <t>John</t>
        </is>
      </c>
      <c r="G133" s="87" t="inlineStr">
        <is>
          <t xml:space="preserve">Novo </t>
        </is>
      </c>
      <c r="H133" s="87" t="inlineStr">
        <is>
          <t>Assinado</t>
        </is>
      </c>
      <c r="I133" s="60" t="n">
        <v>46079</v>
      </c>
    </row>
    <row r="134" ht="15" customHeight="1" s="83">
      <c r="A134" s="14" t="n">
        <v>46098</v>
      </c>
      <c r="B134" s="14" t="n">
        <v>46101</v>
      </c>
      <c r="C134" s="14" t="n">
        <v>46104</v>
      </c>
      <c r="D134" s="87" t="inlineStr">
        <is>
          <t>FRANCISCO SILVA PIRES</t>
        </is>
      </c>
      <c r="E134" s="87" t="inlineStr">
        <is>
          <t>Itaú</t>
        </is>
      </c>
      <c r="F134" s="87" t="inlineStr">
        <is>
          <t>Jacqueline</t>
        </is>
      </c>
      <c r="G134" s="87" t="inlineStr">
        <is>
          <t xml:space="preserve">Novo </t>
        </is>
      </c>
      <c r="H134" s="87" t="inlineStr">
        <is>
          <t>Na planilha</t>
        </is>
      </c>
      <c r="I134" s="60" t="n">
        <v>46079</v>
      </c>
    </row>
    <row r="135" ht="15" customHeight="1" s="83">
      <c r="A135" s="14" t="n">
        <v>46098</v>
      </c>
      <c r="B135" s="14" t="n">
        <v>46101</v>
      </c>
      <c r="C135" s="14" t="n">
        <v>46104</v>
      </c>
      <c r="D135" s="87" t="inlineStr">
        <is>
          <t>JANE SOUSA FRANCA</t>
        </is>
      </c>
      <c r="E135" s="87" t="inlineStr">
        <is>
          <t>Azul</t>
        </is>
      </c>
      <c r="F135" s="87" t="inlineStr">
        <is>
          <t>Leticia</t>
        </is>
      </c>
      <c r="G135" s="87" t="inlineStr">
        <is>
          <t xml:space="preserve">Novo </t>
        </is>
      </c>
      <c r="H135" s="87" t="inlineStr">
        <is>
          <t>Cancelado</t>
        </is>
      </c>
      <c r="I135" s="60" t="n">
        <v>46079</v>
      </c>
    </row>
    <row r="136" ht="15" customHeight="1" s="83">
      <c r="A136" s="14" t="n">
        <v>46098</v>
      </c>
      <c r="B136" s="14" t="n">
        <v>46101</v>
      </c>
      <c r="C136" s="14" t="n">
        <v>46104</v>
      </c>
      <c r="D136" s="87" t="inlineStr">
        <is>
          <t>ROGIMAR BRITO NERE</t>
        </is>
      </c>
      <c r="E136" s="87" t="inlineStr">
        <is>
          <t>Azul</t>
        </is>
      </c>
      <c r="F136" s="87" t="inlineStr">
        <is>
          <t>Leticia</t>
        </is>
      </c>
      <c r="G136" s="87" t="inlineStr">
        <is>
          <t xml:space="preserve">Novo </t>
        </is>
      </c>
      <c r="H136" s="87" t="inlineStr">
        <is>
          <t>Assinado</t>
        </is>
      </c>
      <c r="I136" s="60" t="n">
        <v>46079</v>
      </c>
    </row>
    <row r="137" ht="15" customHeight="1" s="83">
      <c r="A137" s="14" t="n">
        <v>46098</v>
      </c>
      <c r="B137" s="14" t="n">
        <v>46101</v>
      </c>
      <c r="C137" s="14" t="n">
        <v>46104</v>
      </c>
      <c r="D137" s="87" t="inlineStr">
        <is>
          <t>CLAUDIA APARECIDA FERREIRA DE CARVALHO</t>
        </is>
      </c>
      <c r="E137" s="87" t="inlineStr">
        <is>
          <t>Suhai</t>
        </is>
      </c>
      <c r="F137" s="87" t="inlineStr">
        <is>
          <t>John</t>
        </is>
      </c>
      <c r="G137" s="87" t="inlineStr">
        <is>
          <t xml:space="preserve">Novo </t>
        </is>
      </c>
      <c r="H137" s="87" t="inlineStr">
        <is>
          <t>Assinado</t>
        </is>
      </c>
      <c r="I137" s="60" t="n">
        <v>46079</v>
      </c>
    </row>
    <row r="138" ht="15" customHeight="1" s="83">
      <c r="A138" s="14" t="n">
        <v>46098</v>
      </c>
      <c r="B138" s="14" t="n">
        <v>46101</v>
      </c>
      <c r="C138" s="14" t="n">
        <v>46104</v>
      </c>
      <c r="D138" s="87" t="inlineStr">
        <is>
          <t>VAGNER CORDEIRO LAURENTINO</t>
        </is>
      </c>
      <c r="E138" s="87" t="inlineStr">
        <is>
          <t>Suhai</t>
        </is>
      </c>
      <c r="F138" s="87" t="inlineStr">
        <is>
          <t>Enzo</t>
        </is>
      </c>
      <c r="G138" s="87" t="inlineStr">
        <is>
          <t xml:space="preserve">Novo </t>
        </is>
      </c>
      <c r="H138" s="87" t="inlineStr">
        <is>
          <t>Cancelado</t>
        </is>
      </c>
      <c r="I138" s="60" t="n">
        <v>46079</v>
      </c>
    </row>
    <row r="139" ht="15" customHeight="1" s="83">
      <c r="A139" s="14" t="n">
        <v>46098</v>
      </c>
      <c r="B139" s="14" t="n">
        <v>46101</v>
      </c>
      <c r="C139" s="14" t="n">
        <v>46104</v>
      </c>
      <c r="D139" s="87" t="inlineStr">
        <is>
          <t>FRANCISCO GOMES DE ALENCAR</t>
        </is>
      </c>
      <c r="E139" s="87" t="inlineStr">
        <is>
          <t>Azul</t>
        </is>
      </c>
      <c r="F139" s="87" t="inlineStr">
        <is>
          <t>Enzo</t>
        </is>
      </c>
      <c r="G139" s="87" t="inlineStr">
        <is>
          <t xml:space="preserve">Novo </t>
        </is>
      </c>
      <c r="H139" s="87" t="inlineStr">
        <is>
          <t>Na planilha</t>
        </is>
      </c>
      <c r="I139" s="60" t="n">
        <v>46079</v>
      </c>
      <c r="L139" s="87" t="n"/>
    </row>
    <row r="140" ht="15" customHeight="1" s="83">
      <c r="A140" s="14" t="n">
        <v>46098</v>
      </c>
      <c r="B140" s="14" t="n">
        <v>46101</v>
      </c>
      <c r="C140" s="14" t="n">
        <v>46104</v>
      </c>
      <c r="D140" s="87" t="inlineStr">
        <is>
          <t>MARCOS ROBERTO BAPTISTA</t>
        </is>
      </c>
      <c r="E140" s="87" t="inlineStr">
        <is>
          <t>Azul</t>
        </is>
      </c>
      <c r="F140" s="87" t="inlineStr">
        <is>
          <t>Jacqueline</t>
        </is>
      </c>
      <c r="G140" s="87" t="inlineStr">
        <is>
          <t xml:space="preserve">Novo </t>
        </is>
      </c>
      <c r="H140" s="87" t="inlineStr">
        <is>
          <t>Na planilha</t>
        </is>
      </c>
      <c r="I140" s="60" t="n">
        <v>46079</v>
      </c>
      <c r="L140" s="87" t="n"/>
      <c r="M140" s="62" t="n"/>
      <c r="V140" s="87" t="n"/>
      <c r="W140" s="87" t="n"/>
    </row>
    <row r="141" ht="15" customHeight="1" s="83">
      <c r="A141" s="14" t="n">
        <v>46098</v>
      </c>
      <c r="B141" s="14" t="n">
        <v>46101</v>
      </c>
      <c r="C141" s="14" t="n">
        <v>46104</v>
      </c>
      <c r="D141" s="87" t="inlineStr">
        <is>
          <t>CLAUDIA AMORIM DE CASTRO E SILVA</t>
        </is>
      </c>
      <c r="E141" s="87" t="inlineStr">
        <is>
          <t>Porto</t>
        </is>
      </c>
      <c r="F141" s="87" t="inlineStr">
        <is>
          <t>Jacqueline</t>
        </is>
      </c>
      <c r="G141" s="87" t="inlineStr">
        <is>
          <t xml:space="preserve">Novo </t>
        </is>
      </c>
      <c r="H141" s="87" t="inlineStr">
        <is>
          <t>Assinado</t>
        </is>
      </c>
      <c r="I141" s="60" t="n">
        <v>46079</v>
      </c>
    </row>
    <row r="142" ht="15" customHeight="1" s="83">
      <c r="A142" s="14" t="n">
        <v>46099</v>
      </c>
      <c r="B142" s="14" t="n">
        <v>46102</v>
      </c>
      <c r="C142" s="14" t="n">
        <v>46105</v>
      </c>
      <c r="D142" s="87" t="inlineStr">
        <is>
          <t>DANIEL SANCHES</t>
        </is>
      </c>
      <c r="E142" s="87" t="inlineStr">
        <is>
          <t>Porto</t>
        </is>
      </c>
      <c r="F142" s="87" t="inlineStr">
        <is>
          <t>Leticia</t>
        </is>
      </c>
      <c r="G142" s="87" t="inlineStr">
        <is>
          <t xml:space="preserve">Novo </t>
        </is>
      </c>
      <c r="H142" s="87" t="inlineStr">
        <is>
          <t>Assinado</t>
        </is>
      </c>
      <c r="I142" s="60" t="n">
        <v>46080</v>
      </c>
      <c r="L142" s="87" t="n"/>
      <c r="M142" s="62" t="n"/>
      <c r="V142" s="87" t="n"/>
      <c r="W142" s="87" t="n"/>
    </row>
    <row r="143" ht="15" customHeight="1" s="83">
      <c r="A143" s="14" t="n">
        <v>46099</v>
      </c>
      <c r="B143" s="14" t="n">
        <v>46102</v>
      </c>
      <c r="C143" s="14" t="n">
        <v>46105</v>
      </c>
      <c r="D143" s="87" t="inlineStr">
        <is>
          <t>MARINA SANTOS VIANA ARAUJO</t>
        </is>
      </c>
      <c r="E143" s="87" t="inlineStr">
        <is>
          <t>Tokio</t>
        </is>
      </c>
      <c r="F143" s="87" t="inlineStr">
        <is>
          <t>John</t>
        </is>
      </c>
      <c r="G143" s="87" t="inlineStr">
        <is>
          <t xml:space="preserve">Novo </t>
        </is>
      </c>
      <c r="H143" s="87" t="inlineStr">
        <is>
          <t>Assinado</t>
        </is>
      </c>
      <c r="I143" s="60" t="n">
        <v>46080</v>
      </c>
      <c r="L143" s="87" t="n"/>
      <c r="M143" s="62" t="n"/>
      <c r="V143" s="87" t="n"/>
      <c r="W143" s="87" t="n"/>
    </row>
    <row r="144" ht="15" customHeight="1" s="83">
      <c r="A144" s="14" t="n">
        <v>46099</v>
      </c>
      <c r="B144" s="14" t="n">
        <v>46102</v>
      </c>
      <c r="C144" s="14" t="n">
        <v>46105</v>
      </c>
      <c r="D144" s="87" t="inlineStr">
        <is>
          <t>ALINE FERRAZ DOS SANTOS</t>
        </is>
      </c>
      <c r="E144" s="87" t="inlineStr">
        <is>
          <t>Allianz</t>
        </is>
      </c>
      <c r="F144" s="87" t="inlineStr">
        <is>
          <t>John</t>
        </is>
      </c>
      <c r="G144" s="87" t="inlineStr">
        <is>
          <t>Renovação</t>
        </is>
      </c>
      <c r="H144" s="87" t="inlineStr">
        <is>
          <t>Na planilha</t>
        </is>
      </c>
      <c r="I144" s="60" t="n">
        <v>46080</v>
      </c>
      <c r="L144" s="87" t="n"/>
      <c r="M144" s="62" t="n"/>
      <c r="V144" s="87" t="n"/>
      <c r="W144" s="87" t="n"/>
    </row>
    <row r="145" ht="15" customHeight="1" s="83">
      <c r="A145" s="14" t="n">
        <v>46099</v>
      </c>
      <c r="B145" s="14" t="n">
        <v>46102</v>
      </c>
      <c r="C145" s="14" t="n">
        <v>46105</v>
      </c>
      <c r="D145" s="87" t="inlineStr">
        <is>
          <t>EDILSON CHAVES DOS REIS</t>
        </is>
      </c>
      <c r="E145" s="87" t="inlineStr">
        <is>
          <t>Azul</t>
        </is>
      </c>
      <c r="F145" s="87" t="inlineStr">
        <is>
          <t>Myrelle</t>
        </is>
      </c>
      <c r="G145" s="87" t="inlineStr">
        <is>
          <t xml:space="preserve">Novo </t>
        </is>
      </c>
      <c r="H145" s="87" t="inlineStr">
        <is>
          <t>Assinado</t>
        </is>
      </c>
      <c r="I145" s="60" t="n">
        <v>46080</v>
      </c>
      <c r="L145" s="87" t="n"/>
      <c r="M145" s="62" t="n"/>
      <c r="V145" s="87" t="n"/>
      <c r="W145" s="87" t="n"/>
    </row>
    <row r="146" ht="15" customHeight="1" s="83">
      <c r="A146" s="14" t="n">
        <v>46099</v>
      </c>
      <c r="B146" s="14" t="n">
        <v>46102</v>
      </c>
      <c r="C146" s="14" t="n">
        <v>46105</v>
      </c>
      <c r="D146" s="87" t="inlineStr">
        <is>
          <t>APARECIDO THEODORO</t>
        </is>
      </c>
      <c r="E146" s="87" t="inlineStr">
        <is>
          <t>Azul</t>
        </is>
      </c>
      <c r="F146" s="87" t="inlineStr">
        <is>
          <t>Jacqueline</t>
        </is>
      </c>
      <c r="G146" s="87" t="inlineStr">
        <is>
          <t xml:space="preserve">Novo </t>
        </is>
      </c>
      <c r="H146" s="87" t="inlineStr">
        <is>
          <t>Assinado(manual)</t>
        </is>
      </c>
      <c r="I146" s="60" t="n">
        <v>46080</v>
      </c>
      <c r="L146" s="87" t="n"/>
      <c r="M146" s="62" t="n"/>
      <c r="V146" s="87" t="n"/>
      <c r="W146" s="87" t="n"/>
    </row>
    <row r="147" ht="15" customHeight="1" s="83">
      <c r="A147" s="14" t="n">
        <v>46099</v>
      </c>
      <c r="B147" s="14" t="n">
        <v>46102</v>
      </c>
      <c r="C147" s="14" t="n">
        <v>46105</v>
      </c>
      <c r="D147" s="87" t="inlineStr">
        <is>
          <t>FABIANA PEREIRA DOS SANTOS</t>
        </is>
      </c>
      <c r="E147" s="87" t="inlineStr">
        <is>
          <t>Azul</t>
        </is>
      </c>
      <c r="F147" s="87" t="inlineStr">
        <is>
          <t>John</t>
        </is>
      </c>
      <c r="G147" s="87" t="inlineStr">
        <is>
          <t xml:space="preserve">Novo </t>
        </is>
      </c>
      <c r="H147" s="87" t="inlineStr">
        <is>
          <t>Assinado</t>
        </is>
      </c>
      <c r="I147" s="60" t="n">
        <v>46080</v>
      </c>
      <c r="L147" s="87" t="n"/>
      <c r="M147" s="62" t="n"/>
      <c r="V147" s="87" t="n"/>
      <c r="W147" s="87" t="n"/>
    </row>
    <row r="148" ht="15" customHeight="1" s="83">
      <c r="A148" s="14" t="n">
        <v>46099</v>
      </c>
      <c r="B148" s="14" t="n">
        <v>46102</v>
      </c>
      <c r="C148" s="14" t="n">
        <v>46105</v>
      </c>
      <c r="D148" s="87" t="inlineStr">
        <is>
          <t>GILVAN PURISSIMO DA SILVA</t>
        </is>
      </c>
      <c r="E148" s="87" t="inlineStr">
        <is>
          <t>Mapfre</t>
        </is>
      </c>
      <c r="F148" s="87" t="inlineStr">
        <is>
          <t>Jacqueline</t>
        </is>
      </c>
      <c r="G148" s="87" t="inlineStr">
        <is>
          <t xml:space="preserve">Novo </t>
        </is>
      </c>
      <c r="H148" s="87" t="inlineStr">
        <is>
          <t>Assinado</t>
        </is>
      </c>
      <c r="I148" s="60" t="n">
        <v>46080</v>
      </c>
      <c r="L148" s="87" t="n"/>
      <c r="M148" s="62" t="n"/>
      <c r="V148" s="87" t="n"/>
      <c r="W148" s="87" t="n"/>
    </row>
    <row r="149" ht="15" customHeight="1" s="83">
      <c r="A149" s="14" t="n">
        <v>46099</v>
      </c>
      <c r="B149" s="14" t="n">
        <v>46102</v>
      </c>
      <c r="C149" s="14" t="n">
        <v>46105</v>
      </c>
      <c r="D149" s="87" t="inlineStr">
        <is>
          <t>OSVALDO APARECIDO ROMAO</t>
        </is>
      </c>
      <c r="E149" s="87" t="inlineStr">
        <is>
          <t>Azul</t>
        </is>
      </c>
      <c r="F149" s="87" t="inlineStr">
        <is>
          <t>John</t>
        </is>
      </c>
      <c r="G149" s="87" t="inlineStr">
        <is>
          <t xml:space="preserve">Novo </t>
        </is>
      </c>
      <c r="H149" s="87" t="inlineStr">
        <is>
          <t>Assinado</t>
        </is>
      </c>
      <c r="I149" s="60" t="n">
        <v>46080</v>
      </c>
      <c r="L149" s="87" t="n"/>
      <c r="M149" s="62" t="n"/>
      <c r="V149" s="87" t="n"/>
      <c r="W149" s="87" t="n"/>
    </row>
    <row r="150" ht="15" customHeight="1" s="83">
      <c r="A150" s="14" t="n">
        <v>46099</v>
      </c>
      <c r="B150" s="14" t="n">
        <v>46102</v>
      </c>
      <c r="C150" s="14" t="n">
        <v>46105</v>
      </c>
      <c r="D150" s="87" t="inlineStr">
        <is>
          <t>GABRIEL FELIPE GONCALVES</t>
        </is>
      </c>
      <c r="E150" s="87" t="inlineStr">
        <is>
          <t>Tokio</t>
        </is>
      </c>
      <c r="F150" s="87" t="inlineStr">
        <is>
          <t>John</t>
        </is>
      </c>
      <c r="G150" s="87" t="inlineStr">
        <is>
          <t xml:space="preserve">Novo </t>
        </is>
      </c>
      <c r="H150" s="87" t="inlineStr">
        <is>
          <t>Assinado</t>
        </is>
      </c>
      <c r="I150" s="60" t="n">
        <v>46080</v>
      </c>
      <c r="L150" s="87" t="n"/>
      <c r="M150" s="62" t="n"/>
      <c r="V150" s="87" t="n"/>
      <c r="W150" s="87" t="n"/>
    </row>
    <row r="151" ht="15" customHeight="1" s="83">
      <c r="A151" s="14" t="n">
        <v>46099</v>
      </c>
      <c r="B151" s="14" t="n">
        <v>46102</v>
      </c>
      <c r="C151" s="14" t="n">
        <v>46105</v>
      </c>
      <c r="D151" s="87" t="inlineStr">
        <is>
          <t>VANDERLEI BARBOSA DE OLIVEIRA</t>
        </is>
      </c>
      <c r="E151" s="87" t="inlineStr">
        <is>
          <t>Porto</t>
        </is>
      </c>
      <c r="F151" s="87" t="inlineStr">
        <is>
          <t>John</t>
        </is>
      </c>
      <c r="G151" s="87" t="inlineStr">
        <is>
          <t xml:space="preserve">Novo </t>
        </is>
      </c>
      <c r="H151" s="87" t="inlineStr">
        <is>
          <t>Assinado</t>
        </is>
      </c>
      <c r="I151" s="60" t="n">
        <v>46080</v>
      </c>
      <c r="L151" s="87" t="n"/>
      <c r="M151" s="62" t="n"/>
      <c r="V151" s="87" t="n"/>
      <c r="W151" s="87" t="n"/>
    </row>
    <row r="152" ht="15" customHeight="1" s="83">
      <c r="A152" s="14" t="n">
        <v>46100</v>
      </c>
      <c r="B152" s="14" t="n">
        <v>46103</v>
      </c>
      <c r="C152" s="14" t="n">
        <v>46106</v>
      </c>
      <c r="D152" s="87" t="inlineStr">
        <is>
          <t>JOSE ROGERIO DOS SANTOS</t>
        </is>
      </c>
      <c r="E152" s="87" t="inlineStr">
        <is>
          <t>Azul</t>
        </is>
      </c>
      <c r="F152" s="87" t="inlineStr">
        <is>
          <t>Myrelle</t>
        </is>
      </c>
      <c r="G152" s="87" t="inlineStr">
        <is>
          <t xml:space="preserve">Novo </t>
        </is>
      </c>
      <c r="H152" s="87" t="inlineStr">
        <is>
          <t>Assinado</t>
        </is>
      </c>
      <c r="I152" s="60" t="n">
        <v>46081</v>
      </c>
      <c r="L152" s="87" t="n"/>
      <c r="M152" s="62" t="n"/>
      <c r="V152" s="87" t="n"/>
      <c r="W152" s="87" t="n"/>
    </row>
    <row r="153" ht="15" customHeight="1" s="83">
      <c r="A153" s="14" t="n">
        <v>46100</v>
      </c>
      <c r="B153" s="14" t="n">
        <v>46103</v>
      </c>
      <c r="C153" s="14" t="n">
        <v>46106</v>
      </c>
      <c r="D153" s="87" t="inlineStr">
        <is>
          <t>AURENI PEREIRA DE SOUZA</t>
        </is>
      </c>
      <c r="E153" s="87" t="inlineStr">
        <is>
          <t>Porto</t>
        </is>
      </c>
      <c r="F153" s="87" t="inlineStr">
        <is>
          <t>John</t>
        </is>
      </c>
      <c r="G153" s="87" t="inlineStr">
        <is>
          <t>Renovação</t>
        </is>
      </c>
      <c r="H153" s="87" t="inlineStr">
        <is>
          <t>Na planilha</t>
        </is>
      </c>
      <c r="I153" s="60" t="n">
        <v>46081</v>
      </c>
      <c r="L153" s="87" t="n"/>
      <c r="M153" s="62" t="n"/>
      <c r="V153" s="87" t="n"/>
      <c r="W153" s="87" t="n"/>
    </row>
    <row r="154" ht="15" customHeight="1" s="83">
      <c r="A154" s="14" t="n">
        <v>46100</v>
      </c>
      <c r="B154" s="14" t="n">
        <v>46103</v>
      </c>
      <c r="C154" s="14" t="n">
        <v>46106</v>
      </c>
      <c r="D154" s="87" t="inlineStr">
        <is>
          <t>AURENI PEREIRA DE SOUZA</t>
        </is>
      </c>
      <c r="E154" s="87" t="inlineStr">
        <is>
          <t>Porto</t>
        </is>
      </c>
      <c r="F154" s="87" t="inlineStr">
        <is>
          <t>John</t>
        </is>
      </c>
      <c r="G154" s="87" t="inlineStr">
        <is>
          <t>Renovação</t>
        </is>
      </c>
      <c r="H154" s="87" t="inlineStr">
        <is>
          <t>Na planilha</t>
        </is>
      </c>
      <c r="I154" s="60" t="n">
        <v>46081</v>
      </c>
      <c r="L154" s="87" t="n"/>
      <c r="M154" s="62" t="n"/>
      <c r="V154" s="87" t="n"/>
      <c r="W154" s="87" t="n"/>
    </row>
    <row r="155" ht="15" customHeight="1" s="83">
      <c r="A155" s="14" t="n">
        <v>46100</v>
      </c>
      <c r="B155" s="14" t="n">
        <v>46103</v>
      </c>
      <c r="C155" s="14" t="n">
        <v>46106</v>
      </c>
      <c r="D155" s="87" t="inlineStr">
        <is>
          <t>LARISSA CRISTINA ROCHA DA SILVA</t>
        </is>
      </c>
      <c r="E155" s="87" t="inlineStr">
        <is>
          <t>Porto</t>
        </is>
      </c>
      <c r="F155" s="87" t="inlineStr">
        <is>
          <t>John</t>
        </is>
      </c>
      <c r="G155" s="87" t="inlineStr">
        <is>
          <t xml:space="preserve">Novo </t>
        </is>
      </c>
      <c r="H155" s="87" t="inlineStr">
        <is>
          <t>Assinado</t>
        </is>
      </c>
      <c r="I155" s="60" t="n">
        <v>46081</v>
      </c>
      <c r="L155" s="87" t="n"/>
      <c r="M155" s="62" t="n"/>
      <c r="V155" s="87" t="n"/>
      <c r="W155" s="87" t="n"/>
    </row>
    <row r="156" ht="15" customHeight="1" s="83">
      <c r="A156" s="14" t="n">
        <v>46100</v>
      </c>
      <c r="B156" s="14" t="n">
        <v>46103</v>
      </c>
      <c r="C156" s="14" t="n">
        <v>46106</v>
      </c>
      <c r="D156" s="87" t="inlineStr">
        <is>
          <t>IVETE HENRIQUE</t>
        </is>
      </c>
      <c r="E156" s="87" t="inlineStr">
        <is>
          <t>Azul</t>
        </is>
      </c>
      <c r="F156" s="87" t="inlineStr">
        <is>
          <t>John</t>
        </is>
      </c>
      <c r="G156" s="87" t="inlineStr">
        <is>
          <t xml:space="preserve">Novo </t>
        </is>
      </c>
      <c r="H156" s="87" t="inlineStr">
        <is>
          <t>Assinado</t>
        </is>
      </c>
      <c r="I156" s="60" t="n">
        <v>46081</v>
      </c>
      <c r="L156" s="87" t="n"/>
      <c r="M156" s="62" t="n"/>
      <c r="V156" s="87" t="n"/>
      <c r="W156" s="87" t="n"/>
    </row>
    <row r="157" ht="15" customHeight="1" s="83">
      <c r="A157" s="14" t="n">
        <v>46100</v>
      </c>
      <c r="B157" s="14" t="n">
        <v>46103</v>
      </c>
      <c r="C157" s="14" t="n">
        <v>46106</v>
      </c>
      <c r="D157" s="87" t="inlineStr">
        <is>
          <t>JOSE LEANDRO OLIVEIRA DA SILVA</t>
        </is>
      </c>
      <c r="E157" s="87" t="inlineStr">
        <is>
          <t>Azul</t>
        </is>
      </c>
      <c r="F157" s="87" t="inlineStr">
        <is>
          <t>Enzo</t>
        </is>
      </c>
      <c r="G157" s="87" t="inlineStr">
        <is>
          <t xml:space="preserve">Novo </t>
        </is>
      </c>
      <c r="H157" s="87" t="inlineStr">
        <is>
          <t>Assinado</t>
        </is>
      </c>
      <c r="I157" s="60" t="n">
        <v>46081</v>
      </c>
      <c r="L157" s="87" t="n"/>
      <c r="M157" s="62" t="n"/>
      <c r="V157" s="87" t="n"/>
      <c r="W157" s="87" t="n"/>
    </row>
    <row r="158" ht="15" customHeight="1" s="83">
      <c r="A158" s="14" t="n">
        <v>46100</v>
      </c>
      <c r="B158" s="14" t="n">
        <v>46103</v>
      </c>
      <c r="C158" s="14" t="n">
        <v>46106</v>
      </c>
      <c r="D158" s="87" t="inlineStr">
        <is>
          <t>ADAO APOLONIO DA SILVA</t>
        </is>
      </c>
      <c r="E158" s="87" t="inlineStr">
        <is>
          <t>Suhai</t>
        </is>
      </c>
      <c r="F158" s="87" t="inlineStr">
        <is>
          <t>Enzo</t>
        </is>
      </c>
      <c r="G158" s="87" t="inlineStr">
        <is>
          <t xml:space="preserve">Novo </t>
        </is>
      </c>
      <c r="H158" s="87" t="inlineStr">
        <is>
          <t>Assinado</t>
        </is>
      </c>
      <c r="I158" s="60" t="n">
        <v>46081</v>
      </c>
      <c r="L158" s="87" t="n"/>
      <c r="M158" s="62" t="n"/>
      <c r="V158" s="87" t="n"/>
      <c r="W158" s="87" t="n"/>
    </row>
    <row r="159" ht="15" customHeight="1" s="83">
      <c r="A159" s="14" t="n">
        <v>46100</v>
      </c>
      <c r="B159" s="14" t="n">
        <v>46103</v>
      </c>
      <c r="C159" s="14" t="n">
        <v>46106</v>
      </c>
      <c r="D159" s="87" t="inlineStr">
        <is>
          <t>THAIS ANDREZA RODRIGUES DA</t>
        </is>
      </c>
      <c r="E159" s="87" t="inlineStr">
        <is>
          <t>Mapfre</t>
        </is>
      </c>
      <c r="F159" s="87" t="inlineStr">
        <is>
          <t>Jacqueline</t>
        </is>
      </c>
      <c r="G159" s="87" t="inlineStr">
        <is>
          <t xml:space="preserve">Novo </t>
        </is>
      </c>
      <c r="H159" s="87" t="inlineStr">
        <is>
          <t>Na planilha</t>
        </is>
      </c>
      <c r="I159" s="60" t="n">
        <v>46081</v>
      </c>
      <c r="L159" s="87" t="n"/>
      <c r="M159" s="62" t="n"/>
      <c r="V159" s="87" t="n"/>
      <c r="W159" s="87" t="n"/>
    </row>
    <row r="160" ht="15" customHeight="1" s="83">
      <c r="A160" s="14" t="n">
        <v>46100</v>
      </c>
      <c r="B160" s="14" t="n">
        <v>46103</v>
      </c>
      <c r="C160" s="14" t="n">
        <v>46106</v>
      </c>
      <c r="D160" s="87" t="inlineStr">
        <is>
          <t>HUDSON OSVALDO DA SILVA CORTIZ</t>
        </is>
      </c>
      <c r="E160" s="87" t="inlineStr">
        <is>
          <t>Suhai</t>
        </is>
      </c>
      <c r="F160" s="87" t="inlineStr">
        <is>
          <t>Jéssica</t>
        </is>
      </c>
      <c r="G160" s="87" t="inlineStr">
        <is>
          <t xml:space="preserve">Novo </t>
        </is>
      </c>
      <c r="H160" s="87" t="inlineStr">
        <is>
          <t>Assinado(manual)</t>
        </is>
      </c>
      <c r="I160" s="60" t="n">
        <v>46081</v>
      </c>
      <c r="L160" s="87" t="n"/>
      <c r="M160" s="62" t="n"/>
      <c r="V160" s="87" t="n"/>
      <c r="W160" s="87" t="n"/>
    </row>
    <row r="161" ht="15" customHeight="1" s="83">
      <c r="A161" s="14" t="n">
        <v>46100</v>
      </c>
      <c r="B161" s="14" t="n">
        <v>46103</v>
      </c>
      <c r="C161" s="14" t="n">
        <v>46106</v>
      </c>
      <c r="D161" s="87" t="inlineStr">
        <is>
          <t>MARCIO ALESSANDRO ALVES</t>
        </is>
      </c>
      <c r="E161" s="87" t="inlineStr">
        <is>
          <t>Suhai</t>
        </is>
      </c>
      <c r="F161" s="87" t="inlineStr">
        <is>
          <t>Jéssica</t>
        </is>
      </c>
      <c r="G161" s="87" t="inlineStr">
        <is>
          <t xml:space="preserve">Novo </t>
        </is>
      </c>
      <c r="H161" s="87" t="inlineStr">
        <is>
          <t>Assinado(manual)</t>
        </is>
      </c>
      <c r="I161" s="60" t="n">
        <v>46081</v>
      </c>
      <c r="L161" s="87" t="n"/>
      <c r="M161" s="62" t="n"/>
      <c r="V161" s="87" t="n"/>
      <c r="W161" s="87" t="n"/>
    </row>
    <row r="162" ht="15" customHeight="1" s="83">
      <c r="A162" s="14" t="n">
        <v>46100</v>
      </c>
      <c r="B162" s="14" t="n">
        <v>46103</v>
      </c>
      <c r="C162" s="14" t="n">
        <v>46106</v>
      </c>
      <c r="D162" s="87" t="inlineStr">
        <is>
          <t>PEDRO PAULO DA SILVA</t>
        </is>
      </c>
      <c r="E162" s="87" t="inlineStr">
        <is>
          <t>Azul</t>
        </is>
      </c>
      <c r="F162" s="87" t="inlineStr">
        <is>
          <t>John</t>
        </is>
      </c>
      <c r="G162" s="87" t="inlineStr">
        <is>
          <t xml:space="preserve">Novo </t>
        </is>
      </c>
      <c r="H162" s="87" t="inlineStr">
        <is>
          <t>Assinado</t>
        </is>
      </c>
      <c r="I162" s="60" t="n">
        <v>46081</v>
      </c>
      <c r="L162" s="87" t="n"/>
      <c r="M162" s="62" t="n"/>
      <c r="V162" s="87" t="n"/>
      <c r="W162" s="87" t="n"/>
    </row>
    <row r="163" ht="15" customHeight="1" s="83">
      <c r="A163" s="14" t="n">
        <v>46100</v>
      </c>
      <c r="B163" s="14" t="n">
        <v>46103</v>
      </c>
      <c r="C163" s="14" t="n">
        <v>46106</v>
      </c>
      <c r="D163" s="87" t="inlineStr">
        <is>
          <t>KAIQUE LOPES DE OLIVEIRA</t>
        </is>
      </c>
      <c r="E163" s="87" t="inlineStr">
        <is>
          <t>Suhai</t>
        </is>
      </c>
      <c r="F163" s="87" t="inlineStr">
        <is>
          <t>Jacqueline</t>
        </is>
      </c>
      <c r="G163" s="87" t="inlineStr">
        <is>
          <t xml:space="preserve">Novo </t>
        </is>
      </c>
      <c r="H163" s="87" t="inlineStr">
        <is>
          <t>Na planilha</t>
        </is>
      </c>
      <c r="I163" s="60" t="n">
        <v>46081</v>
      </c>
      <c r="L163" s="87" t="n"/>
      <c r="M163" s="62" t="n"/>
      <c r="V163" s="87" t="n"/>
      <c r="W163" s="87" t="n"/>
    </row>
    <row r="164" ht="15" customHeight="1" s="83">
      <c r="A164" s="14" t="n">
        <v>46100</v>
      </c>
      <c r="B164" s="14" t="n">
        <v>46103</v>
      </c>
      <c r="C164" s="14" t="n">
        <v>46106</v>
      </c>
      <c r="D164" s="87" t="inlineStr">
        <is>
          <t>EDMILSON DE ARAUJO SILVA</t>
        </is>
      </c>
      <c r="E164" s="87" t="inlineStr">
        <is>
          <t>Azul</t>
        </is>
      </c>
      <c r="F164" s="87" t="inlineStr">
        <is>
          <t>Jacqueline</t>
        </is>
      </c>
      <c r="G164" s="87" t="inlineStr">
        <is>
          <t xml:space="preserve">Novo </t>
        </is>
      </c>
      <c r="H164" s="87" t="inlineStr">
        <is>
          <t>Na planilha</t>
        </is>
      </c>
      <c r="I164" s="60" t="n">
        <v>46081</v>
      </c>
      <c r="L164" s="87" t="n"/>
      <c r="M164" s="62" t="n"/>
      <c r="V164" s="87" t="n"/>
      <c r="W164" s="87" t="n"/>
    </row>
    <row r="165" ht="15" customHeight="1" s="83">
      <c r="A165" s="14" t="n">
        <v>46100</v>
      </c>
      <c r="B165" s="14" t="n">
        <v>46103</v>
      </c>
      <c r="C165" s="14" t="n">
        <v>46106</v>
      </c>
      <c r="D165" s="87" t="inlineStr">
        <is>
          <t>DIEGO DE OLIVEIRA SANTOS</t>
        </is>
      </c>
      <c r="E165" s="87" t="inlineStr">
        <is>
          <t>Tokio</t>
        </is>
      </c>
      <c r="F165" s="87" t="inlineStr">
        <is>
          <t>Leticia</t>
        </is>
      </c>
      <c r="G165" s="87" t="inlineStr">
        <is>
          <t xml:space="preserve">Novo </t>
        </is>
      </c>
      <c r="H165" s="87" t="inlineStr">
        <is>
          <t>Assinado</t>
        </is>
      </c>
      <c r="I165" s="14" t="n">
        <v>46110</v>
      </c>
      <c r="L165" s="87" t="n"/>
      <c r="M165" s="62" t="n"/>
      <c r="V165" s="87" t="n"/>
      <c r="W165" s="87" t="n"/>
    </row>
    <row r="166" ht="15" customHeight="1" s="83">
      <c r="A166" s="14" t="n">
        <v>46101</v>
      </c>
      <c r="B166" s="14" t="n">
        <v>46104</v>
      </c>
      <c r="C166" s="14" t="n">
        <v>46107</v>
      </c>
      <c r="D166" s="87" t="inlineStr">
        <is>
          <t>ANTONIO SERGIO DOS SANTOS BENTO</t>
        </is>
      </c>
      <c r="E166" s="87" t="inlineStr">
        <is>
          <t>Suhai</t>
        </is>
      </c>
      <c r="F166" s="87" t="inlineStr">
        <is>
          <t>Myrelle</t>
        </is>
      </c>
      <c r="G166" s="87" t="inlineStr">
        <is>
          <t xml:space="preserve">Novo </t>
        </is>
      </c>
      <c r="H166" s="87" t="inlineStr">
        <is>
          <t>Assinado</t>
        </is>
      </c>
      <c r="I166" s="14" t="n">
        <v>46110</v>
      </c>
    </row>
    <row r="167" ht="15" customHeight="1" s="83">
      <c r="A167" s="14" t="n">
        <v>46101</v>
      </c>
      <c r="B167" s="14" t="n">
        <v>46104</v>
      </c>
      <c r="C167" s="14" t="n">
        <v>46107</v>
      </c>
      <c r="D167" s="87" t="inlineStr">
        <is>
          <t>UPPER TOUR LTDA</t>
        </is>
      </c>
      <c r="E167" s="87" t="inlineStr">
        <is>
          <t>Porto</t>
        </is>
      </c>
      <c r="F167" s="87" t="inlineStr">
        <is>
          <t>John</t>
        </is>
      </c>
      <c r="G167" s="87" t="inlineStr">
        <is>
          <t xml:space="preserve">Novo </t>
        </is>
      </c>
      <c r="H167" s="87" t="inlineStr">
        <is>
          <t>Assinado</t>
        </is>
      </c>
      <c r="I167" s="14" t="n">
        <v>46110</v>
      </c>
    </row>
    <row r="168" ht="15" customHeight="1" s="83">
      <c r="A168" s="14" t="n">
        <v>46101</v>
      </c>
      <c r="B168" s="14" t="n">
        <v>46104</v>
      </c>
      <c r="C168" s="14" t="n">
        <v>46107</v>
      </c>
      <c r="D168" s="87" t="inlineStr">
        <is>
          <t>RODRIGO FERREIRA DE SOUZA</t>
        </is>
      </c>
      <c r="E168" s="87" t="inlineStr">
        <is>
          <t>Yellum</t>
        </is>
      </c>
      <c r="F168" s="87" t="inlineStr">
        <is>
          <t>John</t>
        </is>
      </c>
      <c r="G168" s="87" t="inlineStr">
        <is>
          <t xml:space="preserve">Novo </t>
        </is>
      </c>
      <c r="H168" s="87" t="inlineStr">
        <is>
          <t>Assinado</t>
        </is>
      </c>
      <c r="I168" s="14" t="n">
        <v>46110</v>
      </c>
    </row>
    <row r="169" ht="15" customHeight="1" s="83">
      <c r="A169" s="14" t="n">
        <v>46101</v>
      </c>
      <c r="B169" s="14" t="n">
        <v>46104</v>
      </c>
      <c r="C169" s="14" t="n">
        <v>46107</v>
      </c>
      <c r="D169" s="87" t="inlineStr">
        <is>
          <t>REGINALDO DE CAMPOS MARIA</t>
        </is>
      </c>
      <c r="E169" s="87" t="inlineStr">
        <is>
          <t>Tokio</t>
        </is>
      </c>
      <c r="F169" s="87" t="inlineStr">
        <is>
          <t>John</t>
        </is>
      </c>
      <c r="G169" s="87" t="inlineStr">
        <is>
          <t xml:space="preserve">Novo </t>
        </is>
      </c>
      <c r="H169" s="87" t="inlineStr">
        <is>
          <t>Assinado</t>
        </is>
      </c>
      <c r="I169" s="14" t="n">
        <v>46110</v>
      </c>
    </row>
    <row r="170" ht="15" customHeight="1" s="83">
      <c r="A170" s="14" t="n">
        <v>46101</v>
      </c>
      <c r="B170" s="14" t="n">
        <v>46104</v>
      </c>
      <c r="C170" s="14" t="n">
        <v>46107</v>
      </c>
      <c r="D170" s="87" t="inlineStr">
        <is>
          <t>TIAGO DA SILVA COSTA</t>
        </is>
      </c>
      <c r="E170" s="87" t="inlineStr">
        <is>
          <t>Azul</t>
        </is>
      </c>
      <c r="F170" s="87" t="inlineStr">
        <is>
          <t>Enzo</t>
        </is>
      </c>
      <c r="G170" s="87" t="inlineStr">
        <is>
          <t xml:space="preserve">Novo </t>
        </is>
      </c>
      <c r="H170" s="87" t="inlineStr">
        <is>
          <t>Assinado</t>
        </is>
      </c>
      <c r="I170" s="14" t="n">
        <v>46110</v>
      </c>
    </row>
    <row r="171" ht="15" customHeight="1" s="83">
      <c r="A171" s="14" t="n">
        <v>46101</v>
      </c>
      <c r="B171" s="14" t="n">
        <v>46104</v>
      </c>
      <c r="C171" s="14" t="n">
        <v>46107</v>
      </c>
      <c r="D171" s="87" t="inlineStr">
        <is>
          <t>EDUARDO LUIS OLIBONI BASTOS</t>
        </is>
      </c>
      <c r="E171" s="87" t="inlineStr">
        <is>
          <t>Porto</t>
        </is>
      </c>
      <c r="F171" s="87" t="inlineStr">
        <is>
          <t>John</t>
        </is>
      </c>
      <c r="G171" s="87" t="inlineStr">
        <is>
          <t>Renovação</t>
        </is>
      </c>
      <c r="H171" s="87" t="inlineStr">
        <is>
          <t>Assinado</t>
        </is>
      </c>
      <c r="I171" s="14" t="n">
        <v>46110</v>
      </c>
    </row>
    <row r="172" ht="15" customHeight="1" s="83">
      <c r="A172" s="14" t="n">
        <v>46101</v>
      </c>
      <c r="B172" s="14" t="n">
        <v>46104</v>
      </c>
      <c r="C172" s="14" t="n">
        <v>46107</v>
      </c>
      <c r="D172" s="87" t="inlineStr">
        <is>
          <t>ARIELA CRISTINA OHAMA BENTO</t>
        </is>
      </c>
      <c r="E172" s="87" t="inlineStr">
        <is>
          <t>Azul</t>
        </is>
      </c>
      <c r="F172" s="87" t="inlineStr">
        <is>
          <t>Myrelle</t>
        </is>
      </c>
      <c r="G172" s="87" t="inlineStr">
        <is>
          <t xml:space="preserve">Novo </t>
        </is>
      </c>
      <c r="H172" s="87" t="inlineStr">
        <is>
          <t>Assinado</t>
        </is>
      </c>
      <c r="I172" s="14" t="n">
        <v>46110</v>
      </c>
    </row>
    <row r="173" ht="15" customHeight="1" s="83">
      <c r="A173" s="14" t="n">
        <v>46101</v>
      </c>
      <c r="B173" s="14" t="n">
        <v>46104</v>
      </c>
      <c r="C173" s="14" t="n">
        <v>46107</v>
      </c>
      <c r="D173" s="87" t="inlineStr">
        <is>
          <t>JAIR CALLERO DE LIMA</t>
        </is>
      </c>
      <c r="E173" s="87" t="inlineStr">
        <is>
          <t>Azul</t>
        </is>
      </c>
      <c r="F173" s="87" t="inlineStr">
        <is>
          <t>Leticia</t>
        </is>
      </c>
      <c r="G173" s="87" t="inlineStr">
        <is>
          <t xml:space="preserve">Novo </t>
        </is>
      </c>
      <c r="H173" s="87" t="inlineStr">
        <is>
          <t>Assinado</t>
        </is>
      </c>
      <c r="I173" s="14" t="n">
        <v>46110</v>
      </c>
    </row>
    <row r="174" ht="15" customHeight="1" s="83">
      <c r="A174" s="14" t="n">
        <v>46101</v>
      </c>
      <c r="B174" s="14" t="n">
        <v>46104</v>
      </c>
      <c r="C174" s="14" t="n">
        <v>46107</v>
      </c>
      <c r="D174" s="87" t="inlineStr">
        <is>
          <t>LEOMAR DE JESUS LIMA</t>
        </is>
      </c>
      <c r="E174" s="87" t="inlineStr">
        <is>
          <t>Azul</t>
        </is>
      </c>
      <c r="F174" s="87" t="inlineStr">
        <is>
          <t>Leticia</t>
        </is>
      </c>
      <c r="G174" s="87" t="inlineStr">
        <is>
          <t xml:space="preserve">Novo </t>
        </is>
      </c>
      <c r="H174" s="87" t="inlineStr">
        <is>
          <t>Cancelado</t>
        </is>
      </c>
      <c r="I174" s="14" t="n">
        <v>46110</v>
      </c>
      <c r="L174" s="87" t="n"/>
      <c r="M174" s="62" t="n"/>
      <c r="V174" s="87" t="n"/>
      <c r="W174" s="87" t="n"/>
    </row>
    <row r="175" ht="15" customHeight="1" s="83">
      <c r="A175" s="14" t="n">
        <v>46101</v>
      </c>
      <c r="B175" s="14" t="n">
        <v>46104</v>
      </c>
      <c r="C175" s="14" t="n">
        <v>46107</v>
      </c>
      <c r="D175" s="87" t="inlineStr">
        <is>
          <t>JAIR RODRIGUES ALVES</t>
        </is>
      </c>
      <c r="E175" s="87" t="inlineStr">
        <is>
          <t>Porto</t>
        </is>
      </c>
      <c r="F175" s="87" t="inlineStr">
        <is>
          <t>John</t>
        </is>
      </c>
      <c r="G175" s="87" t="inlineStr">
        <is>
          <t xml:space="preserve">Novo </t>
        </is>
      </c>
      <c r="H175" s="87" t="inlineStr">
        <is>
          <t>Na planilha</t>
        </is>
      </c>
      <c r="I175" s="14" t="n">
        <v>46110</v>
      </c>
      <c r="L175" s="87" t="n"/>
      <c r="M175" s="62" t="n"/>
      <c r="V175" s="87" t="n"/>
      <c r="W175" s="87" t="n"/>
    </row>
    <row r="176" ht="15" customHeight="1" s="83">
      <c r="A176" s="14" t="n">
        <v>46101</v>
      </c>
      <c r="B176" s="14" t="n">
        <v>46104</v>
      </c>
      <c r="C176" s="14" t="n">
        <v>46107</v>
      </c>
      <c r="D176" s="87" t="inlineStr">
        <is>
          <t>MARCELA APARECIDA FERREIRA</t>
        </is>
      </c>
      <c r="E176" s="87" t="inlineStr">
        <is>
          <t>Tokio</t>
        </is>
      </c>
      <c r="F176" s="87" t="inlineStr">
        <is>
          <t>Jacqueline</t>
        </is>
      </c>
      <c r="G176" s="87" t="inlineStr">
        <is>
          <t xml:space="preserve">Novo </t>
        </is>
      </c>
      <c r="H176" s="87" t="inlineStr">
        <is>
          <t>Assinado</t>
        </is>
      </c>
      <c r="I176" s="14" t="n">
        <v>46110</v>
      </c>
    </row>
    <row r="177" ht="15" customHeight="1" s="83">
      <c r="A177" s="14" t="n">
        <v>46101</v>
      </c>
      <c r="B177" s="14" t="n">
        <v>46104</v>
      </c>
      <c r="C177" s="14" t="n">
        <v>46107</v>
      </c>
      <c r="D177" s="87" t="inlineStr">
        <is>
          <t>BRASILIANO DIONIZIO DE MORAIS NETO</t>
        </is>
      </c>
      <c r="E177" s="87" t="inlineStr">
        <is>
          <t>Suhai</t>
        </is>
      </c>
      <c r="F177" s="87" t="inlineStr">
        <is>
          <t>Leticia</t>
        </is>
      </c>
      <c r="G177" s="87" t="inlineStr">
        <is>
          <t xml:space="preserve">Novo </t>
        </is>
      </c>
      <c r="H177" s="87" t="inlineStr">
        <is>
          <t>Assinado</t>
        </is>
      </c>
      <c r="I177" s="14" t="n">
        <v>46110</v>
      </c>
    </row>
    <row r="178" ht="15" customHeight="1" s="83">
      <c r="A178" s="14" t="n">
        <v>46104</v>
      </c>
      <c r="B178" s="14" t="n">
        <v>46107</v>
      </c>
      <c r="C178" s="14" t="n">
        <v>46110</v>
      </c>
      <c r="D178" s="87" t="inlineStr">
        <is>
          <t>DANIELLE FERREIRA CRUZ SILVA</t>
        </is>
      </c>
      <c r="E178" s="87" t="inlineStr">
        <is>
          <t>Suhai</t>
        </is>
      </c>
      <c r="F178" s="87" t="inlineStr">
        <is>
          <t>Leticia</t>
        </is>
      </c>
      <c r="G178" s="87" t="inlineStr">
        <is>
          <t xml:space="preserve">Novo </t>
        </is>
      </c>
      <c r="H178" s="87" t="inlineStr">
        <is>
          <t>Cancelado</t>
        </is>
      </c>
      <c r="I178" s="14" t="n">
        <v>46113</v>
      </c>
      <c r="L178" s="87" t="n"/>
      <c r="M178" s="62" t="n"/>
      <c r="V178" s="87" t="n"/>
      <c r="W178" s="87" t="n"/>
    </row>
    <row r="179" ht="15" customHeight="1" s="83">
      <c r="A179" s="14" t="n">
        <v>46104</v>
      </c>
      <c r="B179" s="14" t="n">
        <v>46107</v>
      </c>
      <c r="C179" s="14" t="n">
        <v>46110</v>
      </c>
      <c r="D179" s="87" t="inlineStr">
        <is>
          <t>FATIMA CARVALHO ANTONIO</t>
        </is>
      </c>
      <c r="E179" s="87" t="inlineStr">
        <is>
          <t>Allianz</t>
        </is>
      </c>
      <c r="F179" s="87" t="inlineStr">
        <is>
          <t>John</t>
        </is>
      </c>
      <c r="G179" s="87" t="inlineStr">
        <is>
          <t xml:space="preserve">Novo </t>
        </is>
      </c>
      <c r="H179" s="87" t="inlineStr">
        <is>
          <t>Assinado</t>
        </is>
      </c>
      <c r="I179" s="14" t="n">
        <v>46113</v>
      </c>
    </row>
    <row r="180" ht="15" customHeight="1" s="83">
      <c r="A180" s="14" t="n">
        <v>46104</v>
      </c>
      <c r="B180" s="14" t="n">
        <v>46107</v>
      </c>
      <c r="C180" s="14" t="n">
        <v>46110</v>
      </c>
      <c r="D180" s="87" t="inlineStr">
        <is>
          <t>AILTON BENJAMIM DA PAIXAO</t>
        </is>
      </c>
      <c r="E180" s="87" t="inlineStr">
        <is>
          <t>Azul</t>
        </is>
      </c>
      <c r="F180" s="87" t="inlineStr">
        <is>
          <t>Jacqueline</t>
        </is>
      </c>
      <c r="G180" s="87" t="inlineStr">
        <is>
          <t xml:space="preserve">Novo </t>
        </is>
      </c>
      <c r="H180" s="87" t="inlineStr">
        <is>
          <t>Assinado</t>
        </is>
      </c>
      <c r="I180" s="14" t="n">
        <v>46113</v>
      </c>
    </row>
    <row r="181" ht="15" customHeight="1" s="83">
      <c r="A181" s="14" t="n">
        <v>46105</v>
      </c>
      <c r="B181" s="14" t="n">
        <v>46108</v>
      </c>
      <c r="C181" s="14" t="n">
        <v>46111</v>
      </c>
      <c r="D181" s="87" t="inlineStr">
        <is>
          <t>ALESSANDRO PEREIRA DOS SANTOS</t>
        </is>
      </c>
      <c r="E181" s="87" t="inlineStr">
        <is>
          <t>Azul</t>
        </is>
      </c>
      <c r="F181" s="87" t="inlineStr">
        <is>
          <t>Jacqueline</t>
        </is>
      </c>
      <c r="G181" s="87" t="inlineStr">
        <is>
          <t xml:space="preserve">Novo </t>
        </is>
      </c>
      <c r="H181" s="87" t="inlineStr">
        <is>
          <t>Na planilha</t>
        </is>
      </c>
      <c r="I181" s="14" t="n">
        <v>46114</v>
      </c>
    </row>
    <row r="182" ht="15" customHeight="1" s="83">
      <c r="A182" s="14" t="n">
        <v>46105</v>
      </c>
      <c r="B182" s="14" t="n">
        <v>46108</v>
      </c>
      <c r="C182" s="14" t="n">
        <v>46111</v>
      </c>
      <c r="D182" s="87" t="inlineStr">
        <is>
          <t>ANA PAULA CHRISTE ROSCHEL</t>
        </is>
      </c>
      <c r="E182" s="87" t="inlineStr">
        <is>
          <t>Azul</t>
        </is>
      </c>
      <c r="F182" s="87" t="inlineStr">
        <is>
          <t>John</t>
        </is>
      </c>
      <c r="G182" s="87" t="inlineStr">
        <is>
          <t>Renovação</t>
        </is>
      </c>
      <c r="H182" s="87" t="inlineStr">
        <is>
          <t>Assinado</t>
        </is>
      </c>
      <c r="I182" s="14" t="n">
        <v>46114</v>
      </c>
    </row>
    <row r="183" ht="15" customHeight="1" s="83">
      <c r="A183" s="14" t="n">
        <v>46106</v>
      </c>
      <c r="B183" s="14" t="n">
        <v>46109</v>
      </c>
      <c r="C183" s="14" t="n">
        <v>46112</v>
      </c>
      <c r="D183" s="87" t="inlineStr">
        <is>
          <t>EVERTON ROCHA DE OLIVEIRA</t>
        </is>
      </c>
      <c r="E183" s="87" t="inlineStr">
        <is>
          <t>Suhai</t>
        </is>
      </c>
      <c r="F183" s="87" t="inlineStr">
        <is>
          <t>Jéssica</t>
        </is>
      </c>
      <c r="G183" s="87" t="inlineStr">
        <is>
          <t xml:space="preserve">Novo </t>
        </is>
      </c>
      <c r="H183" s="87" t="inlineStr">
        <is>
          <t>Na planilha</t>
        </is>
      </c>
      <c r="I183" s="14" t="n">
        <v>46115</v>
      </c>
      <c r="L183" s="87" t="n"/>
      <c r="M183" s="62" t="n"/>
      <c r="V183" s="87" t="n"/>
      <c r="W183" s="87" t="n"/>
    </row>
    <row r="184" ht="15" customHeight="1" s="83">
      <c r="A184" s="14" t="n">
        <v>46106</v>
      </c>
      <c r="B184" s="14" t="n">
        <v>46109</v>
      </c>
      <c r="C184" s="14" t="n">
        <v>46112</v>
      </c>
      <c r="D184" s="87" t="inlineStr">
        <is>
          <t>ANTONIO PEREIRA FERREIRA</t>
        </is>
      </c>
      <c r="E184" s="87" t="inlineStr">
        <is>
          <t>Azul</t>
        </is>
      </c>
      <c r="F184" s="87" t="inlineStr">
        <is>
          <t>Isabella</t>
        </is>
      </c>
      <c r="G184" s="87" t="inlineStr">
        <is>
          <t xml:space="preserve">Novo </t>
        </is>
      </c>
      <c r="H184" s="87" t="inlineStr">
        <is>
          <t>Na planilha</t>
        </is>
      </c>
      <c r="I184" s="14" t="n">
        <v>46115</v>
      </c>
      <c r="L184" s="87" t="n"/>
      <c r="M184" s="62" t="n"/>
      <c r="V184" s="87" t="n"/>
      <c r="W184" s="87" t="n"/>
    </row>
    <row r="185" ht="15" customHeight="1" s="83">
      <c r="A185" s="14" t="n">
        <v>46106</v>
      </c>
      <c r="B185" s="14" t="n">
        <v>46109</v>
      </c>
      <c r="C185" s="14" t="n">
        <v>46112</v>
      </c>
      <c r="D185" s="87" t="inlineStr">
        <is>
          <t>DANIEL APARECIDO DE LIMA PERPETUO</t>
        </is>
      </c>
      <c r="E185" s="87" t="inlineStr">
        <is>
          <t>Tokio</t>
        </is>
      </c>
      <c r="F185" s="87" t="inlineStr">
        <is>
          <t>Isabella</t>
        </is>
      </c>
      <c r="G185" s="87" t="inlineStr">
        <is>
          <t xml:space="preserve">Novo </t>
        </is>
      </c>
      <c r="H185" s="87" t="inlineStr">
        <is>
          <t>Assinado</t>
        </is>
      </c>
      <c r="I185" s="14" t="n">
        <v>46115</v>
      </c>
      <c r="L185" s="87" t="n"/>
      <c r="M185" s="62" t="n"/>
      <c r="V185" s="87" t="n"/>
      <c r="W185" s="87" t="n"/>
    </row>
    <row r="186" ht="15" customHeight="1" s="83">
      <c r="A186" s="14" t="n">
        <v>46106</v>
      </c>
      <c r="B186" s="14" t="n">
        <v>46109</v>
      </c>
      <c r="C186" s="14" t="n">
        <v>46112</v>
      </c>
      <c r="D186" s="87" t="inlineStr">
        <is>
          <t>JOSE ACACIO BRITO DE ARAUJO</t>
        </is>
      </c>
      <c r="E186" s="87" t="inlineStr">
        <is>
          <t>Tokio</t>
        </is>
      </c>
      <c r="F186" s="87" t="inlineStr">
        <is>
          <t>Isabella</t>
        </is>
      </c>
      <c r="G186" s="87" t="inlineStr">
        <is>
          <t xml:space="preserve">Novo </t>
        </is>
      </c>
      <c r="H186" s="87" t="inlineStr">
        <is>
          <t>Assinado</t>
        </is>
      </c>
      <c r="I186" s="14" t="n">
        <v>46115</v>
      </c>
      <c r="L186" s="87" t="n"/>
      <c r="M186" s="62" t="n"/>
      <c r="V186" s="87" t="n"/>
      <c r="W186" s="87" t="n"/>
    </row>
    <row r="187" ht="15" customHeight="1" s="83">
      <c r="A187" s="14" t="n">
        <v>46106</v>
      </c>
      <c r="B187" s="14" t="n">
        <v>46109</v>
      </c>
      <c r="C187" s="14" t="n">
        <v>46112</v>
      </c>
      <c r="D187" s="87" t="inlineStr">
        <is>
          <t>TATIANE OLIVEIRA RODRIGUES SILVA</t>
        </is>
      </c>
      <c r="E187" s="87" t="inlineStr">
        <is>
          <t>Tokio</t>
        </is>
      </c>
      <c r="F187" s="87" t="inlineStr">
        <is>
          <t>John</t>
        </is>
      </c>
      <c r="G187" s="87" t="inlineStr">
        <is>
          <t>Renovação</t>
        </is>
      </c>
      <c r="H187" s="87" t="inlineStr">
        <is>
          <t>Assinado</t>
        </is>
      </c>
      <c r="I187" s="14" t="n">
        <v>46115</v>
      </c>
      <c r="L187" s="87" t="n"/>
      <c r="M187" s="62" t="n"/>
      <c r="V187" s="87" t="n"/>
      <c r="W187" s="87" t="n"/>
    </row>
    <row r="188" ht="15" customHeight="1" s="83">
      <c r="A188" s="14" t="n">
        <v>46106</v>
      </c>
      <c r="B188" s="14" t="n">
        <v>46109</v>
      </c>
      <c r="C188" s="14" t="n">
        <v>46112</v>
      </c>
      <c r="D188" s="87" t="inlineStr">
        <is>
          <t>PAULO BATISTA DA SILVA</t>
        </is>
      </c>
      <c r="E188" s="87" t="inlineStr">
        <is>
          <t>Porto</t>
        </is>
      </c>
      <c r="F188" s="87" t="inlineStr">
        <is>
          <t>John</t>
        </is>
      </c>
      <c r="G188" s="87" t="inlineStr">
        <is>
          <t>Renovação</t>
        </is>
      </c>
      <c r="H188" s="87" t="inlineStr">
        <is>
          <t>Assinado</t>
        </is>
      </c>
      <c r="I188" s="14" t="n">
        <v>46115</v>
      </c>
      <c r="L188" s="87" t="n"/>
      <c r="M188" s="62" t="n"/>
      <c r="V188" s="87" t="n"/>
      <c r="W188" s="87" t="n"/>
    </row>
    <row r="189" s="83">
      <c r="A189" s="14" t="n">
        <v>46106</v>
      </c>
      <c r="B189" s="14" t="n">
        <v>46109</v>
      </c>
      <c r="C189" s="14" t="n">
        <v>46112</v>
      </c>
      <c r="D189" s="87" t="inlineStr">
        <is>
          <t>CARLOS ANTONIO PEREIRA</t>
        </is>
      </c>
      <c r="E189" s="87" t="inlineStr">
        <is>
          <t>Allianz</t>
        </is>
      </c>
      <c r="F189" s="87" t="inlineStr">
        <is>
          <t>John</t>
        </is>
      </c>
      <c r="G189" s="87" t="inlineStr">
        <is>
          <t xml:space="preserve">Novo </t>
        </is>
      </c>
      <c r="H189" s="87" t="inlineStr">
        <is>
          <t>Assinado</t>
        </is>
      </c>
      <c r="I189" s="14" t="n">
        <v>46115</v>
      </c>
      <c r="L189" s="87" t="n"/>
      <c r="M189" s="62" t="n"/>
      <c r="V189" s="87" t="n"/>
      <c r="W189" s="87" t="n"/>
    </row>
    <row r="190" s="83">
      <c r="A190" s="14" t="n">
        <v>46106</v>
      </c>
      <c r="B190" s="14" t="n">
        <v>46109</v>
      </c>
      <c r="C190" s="14" t="n">
        <v>46112</v>
      </c>
      <c r="D190" s="87" t="inlineStr">
        <is>
          <t>VANIA MARIA DA SILVA AMARO VARELA</t>
        </is>
      </c>
      <c r="E190" s="87" t="inlineStr">
        <is>
          <t>Azul</t>
        </is>
      </c>
      <c r="F190" s="87" t="inlineStr">
        <is>
          <t>Enzo</t>
        </is>
      </c>
      <c r="G190" s="87" t="inlineStr">
        <is>
          <t xml:space="preserve">Novo </t>
        </is>
      </c>
      <c r="H190" s="87" t="inlineStr">
        <is>
          <t>Assinado</t>
        </is>
      </c>
      <c r="I190" s="14" t="n">
        <v>46115</v>
      </c>
      <c r="L190" s="87" t="n"/>
      <c r="M190" s="62" t="n"/>
      <c r="V190" s="87" t="n"/>
      <c r="W190" s="87" t="n"/>
    </row>
    <row r="191" ht="15" customHeight="1" s="83">
      <c r="A191" s="14" t="n">
        <v>46106</v>
      </c>
      <c r="B191" s="14" t="n">
        <v>46109</v>
      </c>
      <c r="C191" s="14" t="n">
        <v>46112</v>
      </c>
      <c r="D191" s="87" t="inlineStr">
        <is>
          <t>ROGERIO DE SOUZA RODRIGUES</t>
        </is>
      </c>
      <c r="E191" s="87" t="inlineStr">
        <is>
          <t>Suhai</t>
        </is>
      </c>
      <c r="F191" s="87" t="inlineStr">
        <is>
          <t>Jacqueline</t>
        </is>
      </c>
      <c r="G191" s="87" t="inlineStr">
        <is>
          <t xml:space="preserve">Novo </t>
        </is>
      </c>
      <c r="H191" s="87" t="inlineStr">
        <is>
          <t>Assinado</t>
        </is>
      </c>
      <c r="I191" s="14" t="n">
        <v>46115</v>
      </c>
      <c r="L191" s="87" t="n"/>
      <c r="M191" s="62" t="n"/>
      <c r="V191" s="87" t="n"/>
      <c r="W191" s="87" t="n"/>
    </row>
    <row r="192">
      <c r="A192" s="14" t="n">
        <v>46107</v>
      </c>
      <c r="B192" s="14" t="n">
        <v>46110</v>
      </c>
      <c r="C192" s="14" t="n">
        <v>46113</v>
      </c>
      <c r="D192" s="87" t="inlineStr">
        <is>
          <t>FERNANDO DANTAS DA SILVA</t>
        </is>
      </c>
      <c r="E192" s="87" t="inlineStr">
        <is>
          <t>Porto</t>
        </is>
      </c>
      <c r="F192" s="87" t="inlineStr">
        <is>
          <t>Jacqueline</t>
        </is>
      </c>
      <c r="G192" s="87" t="inlineStr">
        <is>
          <t xml:space="preserve">Novo </t>
        </is>
      </c>
      <c r="H192" s="87" t="inlineStr">
        <is>
          <t>Na planilha</t>
        </is>
      </c>
      <c r="I192" s="14" t="n">
        <v>46116</v>
      </c>
    </row>
    <row r="193">
      <c r="A193" s="14" t="n">
        <v>46107</v>
      </c>
      <c r="B193" s="14" t="n">
        <v>46110</v>
      </c>
      <c r="C193" s="14" t="n">
        <v>46113</v>
      </c>
      <c r="D193" s="87" t="inlineStr">
        <is>
          <t>VESPASIANO GOMES DE SA</t>
        </is>
      </c>
      <c r="E193" s="87" t="inlineStr">
        <is>
          <t>Azul</t>
        </is>
      </c>
      <c r="F193" s="87" t="inlineStr">
        <is>
          <t>Leticia</t>
        </is>
      </c>
      <c r="G193" s="87" t="inlineStr">
        <is>
          <t xml:space="preserve">Novo </t>
        </is>
      </c>
      <c r="H193" s="87" t="inlineStr">
        <is>
          <t>Assinado</t>
        </is>
      </c>
      <c r="I193" s="14" t="n">
        <v>46116</v>
      </c>
    </row>
    <row r="194">
      <c r="A194" s="14" t="n">
        <v>46107</v>
      </c>
      <c r="B194" s="14" t="n">
        <v>46110</v>
      </c>
      <c r="C194" s="14" t="n">
        <v>46113</v>
      </c>
      <c r="D194" s="87" t="inlineStr">
        <is>
          <t>LOCADORA DE MOTOS MOTOPRAJA LTDA</t>
        </is>
      </c>
      <c r="E194" s="87" t="inlineStr">
        <is>
          <t>Suhai</t>
        </is>
      </c>
      <c r="F194" s="87" t="inlineStr">
        <is>
          <t>Isabella</t>
        </is>
      </c>
      <c r="G194" s="87" t="inlineStr">
        <is>
          <t xml:space="preserve">Novo </t>
        </is>
      </c>
      <c r="H194" s="87" t="inlineStr">
        <is>
          <t>Na planilha</t>
        </is>
      </c>
      <c r="I194" s="14" t="n">
        <v>46116</v>
      </c>
    </row>
    <row r="195">
      <c r="A195" s="14" t="n">
        <v>46107</v>
      </c>
      <c r="B195" s="14" t="n">
        <v>46110</v>
      </c>
      <c r="C195" s="14" t="n">
        <v>46113</v>
      </c>
      <c r="D195" s="87" t="inlineStr">
        <is>
          <t>LOCADORA DE MOTOS MOTOPRAJA LTDA</t>
        </is>
      </c>
      <c r="E195" s="87" t="inlineStr">
        <is>
          <t>Suhai</t>
        </is>
      </c>
      <c r="F195" s="87" t="inlineStr">
        <is>
          <t>Isabella</t>
        </is>
      </c>
      <c r="G195" s="87" t="inlineStr">
        <is>
          <t xml:space="preserve">Novo </t>
        </is>
      </c>
      <c r="H195" s="87" t="inlineStr">
        <is>
          <t>Na planilha</t>
        </is>
      </c>
      <c r="I195" s="14" t="n">
        <v>46116</v>
      </c>
    </row>
    <row r="196" ht="15" customHeight="1" s="83">
      <c r="A196" s="14" t="n">
        <v>46107</v>
      </c>
      <c r="B196" s="14" t="n">
        <v>46110</v>
      </c>
      <c r="C196" s="14" t="n">
        <v>46113</v>
      </c>
      <c r="D196" s="87" t="inlineStr">
        <is>
          <t>LOCADORA DE MOTOS MOTOPRAJA LTDA</t>
        </is>
      </c>
      <c r="E196" s="87" t="inlineStr">
        <is>
          <t>Suhai</t>
        </is>
      </c>
      <c r="F196" s="87" t="inlineStr">
        <is>
          <t>Isabella</t>
        </is>
      </c>
      <c r="G196" s="87" t="inlineStr">
        <is>
          <t xml:space="preserve">Novo </t>
        </is>
      </c>
      <c r="H196" s="87" t="inlineStr">
        <is>
          <t>Na planilha</t>
        </is>
      </c>
      <c r="I196" s="14" t="n">
        <v>46116</v>
      </c>
    </row>
    <row r="197" ht="15" customHeight="1" s="83">
      <c r="A197" s="14" t="n">
        <v>46107</v>
      </c>
      <c r="B197" s="14" t="n">
        <v>46110</v>
      </c>
      <c r="C197" s="14" t="n">
        <v>46113</v>
      </c>
      <c r="D197" s="87" t="inlineStr">
        <is>
          <t>LOCADORA DE MOTOS MOTOPRAJA LTDA</t>
        </is>
      </c>
      <c r="E197" s="87" t="inlineStr">
        <is>
          <t>Suhai</t>
        </is>
      </c>
      <c r="F197" s="87" t="inlineStr">
        <is>
          <t>Isabella</t>
        </is>
      </c>
      <c r="G197" s="87" t="inlineStr">
        <is>
          <t xml:space="preserve">Novo </t>
        </is>
      </c>
      <c r="H197" s="87" t="inlineStr">
        <is>
          <t>Na planilha</t>
        </is>
      </c>
      <c r="I197" s="14" t="n">
        <v>46116</v>
      </c>
    </row>
    <row r="198" ht="15" customHeight="1" s="83">
      <c r="A198" s="14" t="n">
        <v>46107</v>
      </c>
      <c r="B198" s="14" t="n">
        <v>46110</v>
      </c>
      <c r="C198" s="14" t="n">
        <v>46113</v>
      </c>
      <c r="D198" s="87" t="inlineStr">
        <is>
          <t>LOCADORA DE MOTOS MOTOPRAJA LTDA</t>
        </is>
      </c>
      <c r="E198" s="87" t="inlineStr">
        <is>
          <t>Suhai</t>
        </is>
      </c>
      <c r="F198" s="87" t="inlineStr">
        <is>
          <t>Isabella</t>
        </is>
      </c>
      <c r="G198" s="87" t="inlineStr">
        <is>
          <t xml:space="preserve">Novo </t>
        </is>
      </c>
      <c r="H198" s="87" t="inlineStr">
        <is>
          <t>Na planilha</t>
        </is>
      </c>
      <c r="I198" s="14" t="n">
        <v>46116</v>
      </c>
    </row>
    <row r="199" ht="15" customHeight="1" s="83">
      <c r="A199" s="14" t="n">
        <v>46107</v>
      </c>
      <c r="B199" s="14" t="n">
        <v>46110</v>
      </c>
      <c r="C199" s="14" t="n">
        <v>46113</v>
      </c>
      <c r="D199" s="87" t="inlineStr">
        <is>
          <t>LOCADORA DE MOTOS MOTOPRAJA LTDA</t>
        </is>
      </c>
      <c r="E199" s="87" t="inlineStr">
        <is>
          <t>Suhai</t>
        </is>
      </c>
      <c r="F199" s="87" t="inlineStr">
        <is>
          <t>Isabella</t>
        </is>
      </c>
      <c r="G199" s="87" t="inlineStr">
        <is>
          <t xml:space="preserve">Novo </t>
        </is>
      </c>
      <c r="H199" s="87" t="inlineStr">
        <is>
          <t>Na planilha</t>
        </is>
      </c>
      <c r="I199" s="14" t="n">
        <v>46116</v>
      </c>
    </row>
    <row r="200" ht="15" customHeight="1" s="83">
      <c r="A200" s="14" t="n">
        <v>46107</v>
      </c>
      <c r="B200" s="14" t="n">
        <v>46110</v>
      </c>
      <c r="C200" s="14" t="n">
        <v>46113</v>
      </c>
      <c r="D200" s="87" t="inlineStr">
        <is>
          <t>LOCADORA DE MOTOS MOTOPRAJA LTDA</t>
        </is>
      </c>
      <c r="E200" s="87" t="inlineStr">
        <is>
          <t>Suhai</t>
        </is>
      </c>
      <c r="F200" s="87" t="inlineStr">
        <is>
          <t>Isabella</t>
        </is>
      </c>
      <c r="G200" s="87" t="inlineStr">
        <is>
          <t xml:space="preserve">Novo </t>
        </is>
      </c>
      <c r="H200" s="87" t="inlineStr">
        <is>
          <t>Na planilha</t>
        </is>
      </c>
      <c r="I200" s="14" t="n">
        <v>46116</v>
      </c>
    </row>
    <row r="201" ht="15" customHeight="1" s="83">
      <c r="A201" s="14" t="n">
        <v>46107</v>
      </c>
      <c r="B201" s="14" t="n">
        <v>46110</v>
      </c>
      <c r="C201" s="14" t="n">
        <v>46113</v>
      </c>
      <c r="D201" s="87" t="inlineStr">
        <is>
          <t>LOCADORA DE MOTOS MOTOPRAJA LTDA</t>
        </is>
      </c>
      <c r="E201" s="87" t="inlineStr">
        <is>
          <t>Suhai</t>
        </is>
      </c>
      <c r="F201" s="87" t="inlineStr">
        <is>
          <t>Isabella</t>
        </is>
      </c>
      <c r="G201" s="87" t="inlineStr">
        <is>
          <t xml:space="preserve">Novo </t>
        </is>
      </c>
      <c r="H201" s="87" t="inlineStr">
        <is>
          <t>Na planilha</t>
        </is>
      </c>
      <c r="I201" s="14" t="n">
        <v>46116</v>
      </c>
    </row>
    <row r="202" ht="15" customHeight="1" s="83">
      <c r="A202" s="14" t="n">
        <v>46107</v>
      </c>
      <c r="B202" s="14" t="n">
        <v>46110</v>
      </c>
      <c r="C202" s="14" t="n">
        <v>46113</v>
      </c>
      <c r="D202" s="87" t="inlineStr">
        <is>
          <t>LOCADORA DE MOTOS MOTOPRAJA LTDA</t>
        </is>
      </c>
      <c r="E202" s="87" t="inlineStr">
        <is>
          <t>Suhai</t>
        </is>
      </c>
      <c r="F202" s="87" t="inlineStr">
        <is>
          <t>Isabella</t>
        </is>
      </c>
      <c r="G202" s="87" t="inlineStr">
        <is>
          <t xml:space="preserve">Novo </t>
        </is>
      </c>
      <c r="H202" s="87" t="inlineStr">
        <is>
          <t>Na planilha</t>
        </is>
      </c>
      <c r="I202" s="14" t="n">
        <v>46116</v>
      </c>
    </row>
    <row r="203" ht="15" customHeight="1" s="83">
      <c r="A203" s="14" t="n">
        <v>46107</v>
      </c>
      <c r="B203" s="14" t="n">
        <v>46110</v>
      </c>
      <c r="C203" s="14" t="n">
        <v>46113</v>
      </c>
      <c r="D203" s="87" t="inlineStr">
        <is>
          <t>LOCADORA DE MOTOS MOTOPRAJA LTDA</t>
        </is>
      </c>
      <c r="E203" s="87" t="inlineStr">
        <is>
          <t>Suhai</t>
        </is>
      </c>
      <c r="F203" s="87" t="inlineStr">
        <is>
          <t>Isabella</t>
        </is>
      </c>
      <c r="G203" s="87" t="inlineStr">
        <is>
          <t xml:space="preserve">Novo </t>
        </is>
      </c>
      <c r="H203" s="87" t="inlineStr">
        <is>
          <t>Na planilha</t>
        </is>
      </c>
      <c r="I203" s="14" t="n">
        <v>46116</v>
      </c>
    </row>
    <row r="204" ht="15" customHeight="1" s="83">
      <c r="A204" s="14" t="n">
        <v>46107</v>
      </c>
      <c r="B204" s="14" t="n">
        <v>46110</v>
      </c>
      <c r="C204" s="14" t="n">
        <v>46113</v>
      </c>
      <c r="D204" s="87" t="inlineStr">
        <is>
          <t>RICARDO FREIRE DE SANTANA</t>
        </is>
      </c>
      <c r="E204" s="87" t="inlineStr">
        <is>
          <t>Azul</t>
        </is>
      </c>
      <c r="F204" s="87" t="inlineStr">
        <is>
          <t>Jacqueline</t>
        </is>
      </c>
      <c r="G204" s="87" t="inlineStr">
        <is>
          <t xml:space="preserve">Novo </t>
        </is>
      </c>
      <c r="H204" s="87" t="inlineStr">
        <is>
          <t>Assinado</t>
        </is>
      </c>
      <c r="I204" s="14" t="n">
        <v>46116</v>
      </c>
    </row>
    <row r="205" ht="15" customHeight="1" s="83">
      <c r="A205" s="14" t="n">
        <v>46107</v>
      </c>
      <c r="B205" s="14" t="n">
        <v>46110</v>
      </c>
      <c r="C205" s="14" t="n">
        <v>46113</v>
      </c>
      <c r="D205" s="87" t="inlineStr">
        <is>
          <t>ADRIANNE BUGATTI OROSCO</t>
        </is>
      </c>
      <c r="E205" s="87" t="inlineStr">
        <is>
          <t>Azul</t>
        </is>
      </c>
      <c r="F205" s="87" t="inlineStr">
        <is>
          <t>Jacqueline</t>
        </is>
      </c>
      <c r="G205" s="87" t="inlineStr">
        <is>
          <t xml:space="preserve">Novo </t>
        </is>
      </c>
      <c r="H205" s="87" t="inlineStr">
        <is>
          <t>Assinado</t>
        </is>
      </c>
      <c r="I205" s="14" t="n">
        <v>46116</v>
      </c>
    </row>
    <row r="206" ht="15" customHeight="1" s="83">
      <c r="A206" s="14" t="n">
        <v>46107</v>
      </c>
      <c r="B206" s="14" t="n">
        <v>46110</v>
      </c>
      <c r="C206" s="14" t="n">
        <v>46113</v>
      </c>
      <c r="D206" s="87" t="inlineStr">
        <is>
          <t>ITAMAR ROCHA DOS SANTOS</t>
        </is>
      </c>
      <c r="E206" s="87" t="inlineStr">
        <is>
          <t>Tokio</t>
        </is>
      </c>
      <c r="F206" s="87" t="inlineStr">
        <is>
          <t>Jéssica</t>
        </is>
      </c>
      <c r="G206" s="87" t="inlineStr">
        <is>
          <t xml:space="preserve">Novo </t>
        </is>
      </c>
      <c r="H206" s="87" t="inlineStr">
        <is>
          <t>Assinado(manual)</t>
        </is>
      </c>
      <c r="I206" s="14" t="n">
        <v>46116</v>
      </c>
    </row>
    <row r="207" ht="15" customHeight="1" s="83">
      <c r="A207" s="14" t="n">
        <v>46107</v>
      </c>
      <c r="B207" s="14" t="n">
        <v>46110</v>
      </c>
      <c r="C207" s="14" t="n">
        <v>46113</v>
      </c>
      <c r="D207" s="87" t="inlineStr">
        <is>
          <t>RENADIA DE ASSUNCAO LOPES</t>
        </is>
      </c>
      <c r="E207" s="87" t="inlineStr">
        <is>
          <t>Azul</t>
        </is>
      </c>
      <c r="F207" s="87" t="inlineStr">
        <is>
          <t>Leticia</t>
        </is>
      </c>
      <c r="G207" s="87" t="inlineStr">
        <is>
          <t xml:space="preserve">Novo </t>
        </is>
      </c>
      <c r="H207" s="87" t="inlineStr">
        <is>
          <t>Assinado</t>
        </is>
      </c>
      <c r="I207" s="14" t="n">
        <v>46116</v>
      </c>
    </row>
    <row r="208" ht="15" customHeight="1" s="83">
      <c r="A208" s="14" t="n">
        <v>46107</v>
      </c>
      <c r="B208" s="14" t="n">
        <v>46110</v>
      </c>
      <c r="C208" s="14" t="n">
        <v>46113</v>
      </c>
      <c r="D208" s="87" t="inlineStr">
        <is>
          <t>ANTONIO CARLOS DE OLIVEIRA</t>
        </is>
      </c>
      <c r="E208" s="87" t="inlineStr">
        <is>
          <t>Azul</t>
        </is>
      </c>
      <c r="F208" s="87" t="inlineStr">
        <is>
          <t>Leticia</t>
        </is>
      </c>
      <c r="G208" s="87" t="inlineStr">
        <is>
          <t xml:space="preserve">Novo </t>
        </is>
      </c>
      <c r="H208" s="87" t="inlineStr">
        <is>
          <t>Assinado</t>
        </is>
      </c>
      <c r="I208" s="14" t="n">
        <v>46116</v>
      </c>
    </row>
    <row r="209" ht="15" customHeight="1" s="83">
      <c r="A209" s="14" t="n">
        <v>46108</v>
      </c>
      <c r="B209" s="14" t="n">
        <v>46111</v>
      </c>
      <c r="C209" s="14" t="n">
        <v>46114</v>
      </c>
      <c r="D209" s="87" t="inlineStr">
        <is>
          <t>ALSEBERTO ROCHA ALMEIDA</t>
        </is>
      </c>
      <c r="E209" s="87" t="inlineStr">
        <is>
          <t>Suhai</t>
        </is>
      </c>
      <c r="F209" s="87" t="inlineStr">
        <is>
          <t>Jacqueline</t>
        </is>
      </c>
      <c r="G209" s="87" t="inlineStr">
        <is>
          <t xml:space="preserve">Novo </t>
        </is>
      </c>
      <c r="H209" s="87" t="inlineStr">
        <is>
          <t>Na planilha</t>
        </is>
      </c>
      <c r="I209" s="14" t="n">
        <v>46117</v>
      </c>
      <c r="L209" s="87" t="n"/>
      <c r="M209" s="62" t="n"/>
      <c r="V209" s="87" t="n"/>
      <c r="W209" s="87" t="n"/>
    </row>
    <row r="210" ht="15" customHeight="1" s="83">
      <c r="A210" s="14" t="n">
        <v>46108</v>
      </c>
      <c r="B210" s="14" t="n">
        <v>46111</v>
      </c>
      <c r="C210" s="14" t="n">
        <v>46114</v>
      </c>
      <c r="D210" s="87" t="inlineStr">
        <is>
          <t>CARLOS JOAQUIM DOS SANTOS</t>
        </is>
      </c>
      <c r="E210" s="87" t="inlineStr">
        <is>
          <t>Mapfre</t>
        </is>
      </c>
      <c r="F210" s="87" t="inlineStr">
        <is>
          <t>Isabella</t>
        </is>
      </c>
      <c r="G210" s="87" t="inlineStr">
        <is>
          <t xml:space="preserve">Novo </t>
        </is>
      </c>
      <c r="H210" s="87" t="inlineStr">
        <is>
          <t>Na planilha</t>
        </is>
      </c>
      <c r="I210" s="14" t="n">
        <v>46117</v>
      </c>
      <c r="L210" s="87" t="n"/>
      <c r="M210" s="62" t="n"/>
      <c r="V210" s="87" t="n"/>
      <c r="W210" s="87" t="n"/>
    </row>
    <row r="211" ht="15" customHeight="1" s="83">
      <c r="A211" s="14" t="n">
        <v>46108</v>
      </c>
      <c r="B211" s="14" t="n">
        <v>46111</v>
      </c>
      <c r="C211" s="14" t="n">
        <v>46114</v>
      </c>
      <c r="D211" s="87" t="inlineStr">
        <is>
          <t>LILIAN GOMES MARIANO</t>
        </is>
      </c>
      <c r="E211" s="87" t="inlineStr">
        <is>
          <t>Tokio</t>
        </is>
      </c>
      <c r="F211" s="87" t="inlineStr">
        <is>
          <t>Myrelle</t>
        </is>
      </c>
      <c r="G211" s="87" t="inlineStr">
        <is>
          <t xml:space="preserve">Novo </t>
        </is>
      </c>
      <c r="H211" s="87" t="inlineStr">
        <is>
          <t>Assinado</t>
        </is>
      </c>
      <c r="I211" s="14" t="n">
        <v>46117</v>
      </c>
      <c r="L211" s="87" t="n"/>
      <c r="M211" s="62" t="n"/>
      <c r="V211" s="87" t="n"/>
      <c r="W211" s="87" t="n"/>
    </row>
    <row r="212" ht="15" customHeight="1" s="83">
      <c r="A212" s="14" t="n">
        <v>46108</v>
      </c>
      <c r="B212" s="14" t="n">
        <v>46111</v>
      </c>
      <c r="C212" s="14" t="n">
        <v>46114</v>
      </c>
      <c r="D212" s="87" t="inlineStr">
        <is>
          <t>JOSE JORGE MASRI</t>
        </is>
      </c>
      <c r="E212" s="87" t="inlineStr">
        <is>
          <t>Itaú</t>
        </is>
      </c>
      <c r="F212" s="87" t="inlineStr">
        <is>
          <t>Enzo</t>
        </is>
      </c>
      <c r="G212" s="87" t="inlineStr">
        <is>
          <t xml:space="preserve">Novo </t>
        </is>
      </c>
      <c r="H212" s="87" t="inlineStr">
        <is>
          <t>Na planilha</t>
        </is>
      </c>
      <c r="I212" s="14" t="n">
        <v>46117</v>
      </c>
      <c r="L212" s="87" t="n"/>
      <c r="M212" s="62" t="n"/>
      <c r="V212" s="87" t="n"/>
      <c r="W212" s="87" t="n"/>
    </row>
    <row r="213" ht="15" customHeight="1" s="83">
      <c r="A213" s="14" t="n">
        <v>46108</v>
      </c>
      <c r="B213" s="14" t="n">
        <v>46111</v>
      </c>
      <c r="C213" s="14" t="n">
        <v>46114</v>
      </c>
      <c r="D213" s="87" t="inlineStr">
        <is>
          <t>MARILENE VERDUGO BALDO DE OLIVEIRA</t>
        </is>
      </c>
      <c r="E213" s="87" t="inlineStr">
        <is>
          <t>Azul</t>
        </is>
      </c>
      <c r="F213" s="87" t="inlineStr">
        <is>
          <t>Enzo</t>
        </is>
      </c>
      <c r="G213" s="87" t="inlineStr">
        <is>
          <t xml:space="preserve">Novo </t>
        </is>
      </c>
      <c r="H213" s="87" t="inlineStr">
        <is>
          <t>Assinado</t>
        </is>
      </c>
      <c r="I213" s="14" t="n">
        <v>46117</v>
      </c>
      <c r="L213" s="87" t="n"/>
      <c r="M213" s="62" t="n"/>
      <c r="V213" s="87" t="n"/>
      <c r="W213" s="87" t="n"/>
    </row>
    <row r="214" ht="15" customHeight="1" s="83">
      <c r="A214" s="14" t="n">
        <v>46108</v>
      </c>
      <c r="B214" s="14" t="n">
        <v>46111</v>
      </c>
      <c r="C214" s="14" t="n">
        <v>46114</v>
      </c>
      <c r="D214" s="87" t="inlineStr">
        <is>
          <t>ANTONIO APARECIDO DE CAMPOS</t>
        </is>
      </c>
      <c r="E214" s="87" t="inlineStr">
        <is>
          <t>Tokio</t>
        </is>
      </c>
      <c r="F214" s="87" t="inlineStr">
        <is>
          <t>Enzo</t>
        </is>
      </c>
      <c r="G214" s="87" t="inlineStr">
        <is>
          <t xml:space="preserve">Novo </t>
        </is>
      </c>
      <c r="H214" s="87" t="inlineStr">
        <is>
          <t>Assinado</t>
        </is>
      </c>
      <c r="I214" s="14" t="n">
        <v>46117</v>
      </c>
      <c r="L214" s="87" t="n"/>
      <c r="M214" s="62" t="n"/>
      <c r="V214" s="87" t="n"/>
      <c r="W214" s="87" t="n"/>
    </row>
    <row r="215" ht="15" customHeight="1" s="83">
      <c r="A215" s="14" t="n">
        <v>46108</v>
      </c>
      <c r="B215" s="14" t="n">
        <v>46111</v>
      </c>
      <c r="C215" s="14" t="n">
        <v>46114</v>
      </c>
      <c r="D215" s="87" t="inlineStr">
        <is>
          <t>PAULA PEREIRA LIMA</t>
        </is>
      </c>
      <c r="E215" s="87" t="inlineStr">
        <is>
          <t>Allianz</t>
        </is>
      </c>
      <c r="F215" s="87" t="inlineStr">
        <is>
          <t>Enzo</t>
        </is>
      </c>
      <c r="G215" s="87" t="inlineStr">
        <is>
          <t xml:space="preserve">Novo </t>
        </is>
      </c>
      <c r="H215" s="87" t="inlineStr">
        <is>
          <t>Assinado</t>
        </is>
      </c>
      <c r="I215" s="14" t="n">
        <v>46117</v>
      </c>
      <c r="L215" s="87" t="n"/>
      <c r="M215" s="62" t="n"/>
      <c r="V215" s="87" t="n"/>
      <c r="W215" s="87" t="n"/>
    </row>
    <row r="216" ht="15" customHeight="1" s="83">
      <c r="A216" s="14" t="n">
        <v>46108</v>
      </c>
      <c r="B216" s="14" t="n">
        <v>46111</v>
      </c>
      <c r="C216" s="14" t="n">
        <v>46114</v>
      </c>
      <c r="D216" s="87" t="inlineStr">
        <is>
          <t>NELSON LANGUES</t>
        </is>
      </c>
      <c r="E216" s="87" t="inlineStr">
        <is>
          <t>Allianz</t>
        </is>
      </c>
      <c r="F216" s="87" t="inlineStr">
        <is>
          <t>Myrelle</t>
        </is>
      </c>
      <c r="G216" s="87" t="inlineStr">
        <is>
          <t xml:space="preserve">Novo </t>
        </is>
      </c>
      <c r="H216" s="87" t="inlineStr">
        <is>
          <t>Assinado</t>
        </is>
      </c>
      <c r="I216" s="14" t="n">
        <v>46117</v>
      </c>
      <c r="L216" s="87" t="n"/>
      <c r="M216" s="62" t="n"/>
      <c r="V216" s="87" t="n"/>
      <c r="W216" s="87" t="n"/>
    </row>
    <row r="217" ht="15" customHeight="1" s="83">
      <c r="A217" s="14" t="n">
        <v>46108</v>
      </c>
      <c r="B217" s="14" t="n">
        <v>46111</v>
      </c>
      <c r="C217" s="14" t="n">
        <v>46114</v>
      </c>
      <c r="D217" s="87" t="inlineStr">
        <is>
          <t>MARCIO CORDEIRO</t>
        </is>
      </c>
      <c r="E217" s="87" t="inlineStr">
        <is>
          <t>Tokio</t>
        </is>
      </c>
      <c r="F217" s="87" t="inlineStr">
        <is>
          <t>Leticia</t>
        </is>
      </c>
      <c r="G217" s="87" t="inlineStr">
        <is>
          <t xml:space="preserve">Novo </t>
        </is>
      </c>
      <c r="H217" s="87" t="inlineStr">
        <is>
          <t>Assinado</t>
        </is>
      </c>
      <c r="I217" s="14" t="n">
        <v>46117</v>
      </c>
      <c r="L217" s="87" t="n"/>
      <c r="M217" s="62" t="n"/>
      <c r="V217" s="87" t="n"/>
      <c r="W217" s="87" t="n"/>
    </row>
    <row r="218" ht="15" customHeight="1" s="83">
      <c r="A218" s="14" t="n">
        <v>46108</v>
      </c>
      <c r="B218" s="14" t="n">
        <v>46111</v>
      </c>
      <c r="C218" s="14" t="n">
        <v>46114</v>
      </c>
      <c r="D218" s="87" t="inlineStr">
        <is>
          <t>JORGE SOARES SANTOS</t>
        </is>
      </c>
      <c r="E218" s="87" t="inlineStr">
        <is>
          <t>Azul</t>
        </is>
      </c>
      <c r="F218" s="87" t="inlineStr">
        <is>
          <t>Myrelle</t>
        </is>
      </c>
      <c r="G218" s="87" t="inlineStr">
        <is>
          <t xml:space="preserve">Novo </t>
        </is>
      </c>
      <c r="H218" s="87" t="inlineStr">
        <is>
          <t>Cancelado</t>
        </is>
      </c>
      <c r="I218" s="14" t="n">
        <v>46117</v>
      </c>
      <c r="L218" s="87" t="n"/>
      <c r="M218" s="62" t="n"/>
      <c r="V218" s="87" t="n"/>
      <c r="W218" s="87" t="n"/>
    </row>
    <row r="219" ht="15" customHeight="1" s="83">
      <c r="A219" s="14" t="n">
        <v>46108</v>
      </c>
      <c r="B219" s="14" t="n">
        <v>46111</v>
      </c>
      <c r="C219" s="14" t="n">
        <v>46114</v>
      </c>
      <c r="D219" s="87" t="inlineStr">
        <is>
          <t>CARLOS PEREIRA DA SILVA</t>
        </is>
      </c>
      <c r="E219" s="87" t="inlineStr">
        <is>
          <t>Azul</t>
        </is>
      </c>
      <c r="F219" s="87" t="inlineStr">
        <is>
          <t>Leticia</t>
        </is>
      </c>
      <c r="G219" s="87" t="inlineStr">
        <is>
          <t xml:space="preserve">Novo </t>
        </is>
      </c>
      <c r="H219" s="87" t="inlineStr">
        <is>
          <t>Na planilha</t>
        </is>
      </c>
      <c r="I219" s="14" t="n">
        <v>46117</v>
      </c>
      <c r="L219" s="87" t="n"/>
      <c r="M219" s="62" t="n"/>
      <c r="V219" s="87" t="n"/>
      <c r="W219" s="87" t="n"/>
    </row>
    <row r="220" ht="15" customHeight="1" s="83">
      <c r="A220" s="14" t="n">
        <v>46108</v>
      </c>
      <c r="B220" s="14" t="n">
        <v>46111</v>
      </c>
      <c r="C220" s="14" t="n">
        <v>46114</v>
      </c>
      <c r="D220" s="87" t="inlineStr">
        <is>
          <t>NALDINEYA LUZ VIANA</t>
        </is>
      </c>
      <c r="E220" s="87" t="inlineStr">
        <is>
          <t>Porto</t>
        </is>
      </c>
      <c r="F220" s="87" t="inlineStr">
        <is>
          <t>John</t>
        </is>
      </c>
      <c r="G220" s="87" t="inlineStr">
        <is>
          <t xml:space="preserve">Novo </t>
        </is>
      </c>
      <c r="H220" s="87" t="inlineStr">
        <is>
          <t>Assinado</t>
        </is>
      </c>
      <c r="I220" s="14" t="n">
        <v>46117</v>
      </c>
      <c r="L220" s="87" t="n"/>
      <c r="M220" s="62" t="n"/>
      <c r="V220" s="87" t="n"/>
      <c r="W220" s="87" t="n"/>
    </row>
    <row r="221" ht="15" customHeight="1" s="83">
      <c r="A221" s="14" t="n">
        <v>46108</v>
      </c>
      <c r="B221" s="14" t="n">
        <v>46111</v>
      </c>
      <c r="C221" s="14" t="n">
        <v>46114</v>
      </c>
      <c r="D221" s="87" t="inlineStr">
        <is>
          <t>EDMILSON DE LIMA</t>
        </is>
      </c>
      <c r="E221" s="87" t="inlineStr">
        <is>
          <t>Azul</t>
        </is>
      </c>
      <c r="F221" s="87" t="inlineStr">
        <is>
          <t>John</t>
        </is>
      </c>
      <c r="G221" s="87" t="inlineStr">
        <is>
          <t xml:space="preserve">Novo </t>
        </is>
      </c>
      <c r="H221" s="87" t="inlineStr">
        <is>
          <t>Assinado</t>
        </is>
      </c>
      <c r="I221" s="14" t="n">
        <v>46117</v>
      </c>
      <c r="L221" s="87" t="n"/>
      <c r="M221" s="62" t="n"/>
      <c r="V221" s="87" t="n"/>
      <c r="W221" s="87" t="n"/>
    </row>
    <row r="222" ht="15" customHeight="1" s="83">
      <c r="A222" s="14" t="n">
        <v>46108</v>
      </c>
      <c r="B222" s="14" t="n">
        <v>46111</v>
      </c>
      <c r="C222" s="14" t="n">
        <v>46114</v>
      </c>
      <c r="D222" s="87" t="inlineStr">
        <is>
          <t>VITORIA DIAS FEITEIRO</t>
        </is>
      </c>
      <c r="E222" s="87" t="inlineStr">
        <is>
          <t>Porto</t>
        </is>
      </c>
      <c r="F222" s="87" t="inlineStr">
        <is>
          <t>Jacqueline</t>
        </is>
      </c>
      <c r="G222" s="87" t="inlineStr">
        <is>
          <t xml:space="preserve">Novo </t>
        </is>
      </c>
      <c r="H222" s="87" t="inlineStr">
        <is>
          <t>Assinado</t>
        </is>
      </c>
      <c r="I222" s="14" t="n">
        <v>46117</v>
      </c>
      <c r="L222" s="87" t="n"/>
      <c r="M222" s="62" t="n"/>
      <c r="V222" s="87" t="n"/>
      <c r="W222" s="87" t="n"/>
    </row>
    <row r="223" ht="15" customHeight="1" s="83">
      <c r="A223" s="14" t="n">
        <v>46111</v>
      </c>
      <c r="B223" s="14" t="n">
        <v>46083</v>
      </c>
      <c r="C223" s="14" t="n">
        <v>46117</v>
      </c>
      <c r="D223" s="87" t="inlineStr">
        <is>
          <t>KAIQUE DOS SANTOS PAIVA</t>
        </is>
      </c>
      <c r="E223" s="87" t="inlineStr">
        <is>
          <t>Tokio</t>
        </is>
      </c>
      <c r="F223" s="87" t="inlineStr">
        <is>
          <t>Leticia</t>
        </is>
      </c>
      <c r="G223" s="87" t="inlineStr">
        <is>
          <t xml:space="preserve">Novo </t>
        </is>
      </c>
      <c r="H223" s="87" t="inlineStr">
        <is>
          <t>Assinado</t>
        </is>
      </c>
      <c r="I223" s="14" t="n">
        <v>46120</v>
      </c>
    </row>
    <row r="224" ht="15" customHeight="1" s="83">
      <c r="A224" s="14" t="n">
        <v>46111</v>
      </c>
      <c r="B224" s="14" t="n">
        <v>46083</v>
      </c>
      <c r="C224" s="14" t="n">
        <v>46117</v>
      </c>
      <c r="D224" s="87" t="inlineStr">
        <is>
          <t>PAULO ROBERTO APARECIDO DA SILVA</t>
        </is>
      </c>
      <c r="E224" s="87" t="inlineStr">
        <is>
          <t>Mapfre</t>
        </is>
      </c>
      <c r="F224" s="87" t="inlineStr">
        <is>
          <t>Jéssica</t>
        </is>
      </c>
      <c r="G224" s="87" t="inlineStr">
        <is>
          <t xml:space="preserve">Novo </t>
        </is>
      </c>
      <c r="H224" s="87" t="inlineStr">
        <is>
          <t>Na planilha</t>
        </is>
      </c>
      <c r="I224" s="14" t="n">
        <v>46120</v>
      </c>
    </row>
    <row r="225" ht="15" customHeight="1" s="83">
      <c r="A225" s="14" t="n">
        <v>46111</v>
      </c>
      <c r="B225" s="14" t="n">
        <v>46083</v>
      </c>
      <c r="C225" s="14" t="n">
        <v>46117</v>
      </c>
      <c r="D225" s="87" t="inlineStr">
        <is>
          <t>JEFFERSON DE JESUS SAMPAIO</t>
        </is>
      </c>
      <c r="E225" s="87" t="inlineStr">
        <is>
          <t>Azul</t>
        </is>
      </c>
      <c r="F225" s="87" t="inlineStr">
        <is>
          <t>Jacqueline</t>
        </is>
      </c>
      <c r="G225" s="87" t="inlineStr">
        <is>
          <t xml:space="preserve">Novo </t>
        </is>
      </c>
      <c r="H225" s="87" t="inlineStr">
        <is>
          <t>Assinado</t>
        </is>
      </c>
      <c r="I225" s="14" t="n">
        <v>46120</v>
      </c>
    </row>
    <row r="226" ht="15" customHeight="1" s="83">
      <c r="A226" s="14" t="n">
        <v>46112</v>
      </c>
      <c r="B226" s="14" t="n">
        <v>46084</v>
      </c>
      <c r="C226" s="14" t="n">
        <v>46118</v>
      </c>
      <c r="D226" s="87" t="inlineStr">
        <is>
          <t>ISMAEL OLIVEIRA DOS SANTOS</t>
        </is>
      </c>
      <c r="E226" s="87" t="inlineStr">
        <is>
          <t>Porto</t>
        </is>
      </c>
      <c r="F226" s="87" t="inlineStr">
        <is>
          <t>Enzo</t>
        </is>
      </c>
      <c r="G226" s="87" t="inlineStr">
        <is>
          <t xml:space="preserve">Novo </t>
        </is>
      </c>
      <c r="H226" s="87" t="inlineStr">
        <is>
          <t>Assinado</t>
        </is>
      </c>
      <c r="I226" s="14" t="n">
        <v>46121</v>
      </c>
    </row>
    <row r="227" ht="15" customHeight="1" s="83">
      <c r="A227" s="14" t="n">
        <v>46112</v>
      </c>
      <c r="B227" s="14" t="n">
        <v>46084</v>
      </c>
      <c r="C227" s="14" t="n">
        <v>46118</v>
      </c>
      <c r="D227" s="87" t="inlineStr">
        <is>
          <t>RAFAEL FLORENCIO DE SOUZA</t>
        </is>
      </c>
      <c r="E227" s="87" t="inlineStr">
        <is>
          <t>Suhai</t>
        </is>
      </c>
      <c r="F227" s="87" t="inlineStr">
        <is>
          <t>Enzo</t>
        </is>
      </c>
      <c r="G227" s="87" t="inlineStr">
        <is>
          <t xml:space="preserve">Novo </t>
        </is>
      </c>
      <c r="H227" s="87" t="inlineStr">
        <is>
          <t>Assinado(manual)</t>
        </is>
      </c>
      <c r="I227" s="14" t="n">
        <v>46121</v>
      </c>
    </row>
    <row r="228" ht="15" customHeight="1" s="83">
      <c r="A228" s="14" t="n">
        <v>46112</v>
      </c>
      <c r="B228" s="14" t="n">
        <v>46084</v>
      </c>
      <c r="C228" s="14" t="n">
        <v>46118</v>
      </c>
      <c r="D228" s="87" t="inlineStr">
        <is>
          <t>ALEFER FONTANS DA SILVA</t>
        </is>
      </c>
      <c r="E228" s="87" t="inlineStr">
        <is>
          <t>Suhai</t>
        </is>
      </c>
      <c r="F228" s="87" t="inlineStr">
        <is>
          <t>Myrelle</t>
        </is>
      </c>
      <c r="G228" s="87" t="inlineStr">
        <is>
          <t xml:space="preserve">Novo </t>
        </is>
      </c>
      <c r="H228" s="87" t="inlineStr">
        <is>
          <t>Cancelado</t>
        </is>
      </c>
      <c r="I228" s="14" t="n">
        <v>46121</v>
      </c>
    </row>
    <row r="229" ht="15" customHeight="1" s="83">
      <c r="A229" s="14" t="n">
        <v>46112</v>
      </c>
      <c r="B229" s="14" t="n">
        <v>46084</v>
      </c>
      <c r="C229" s="14" t="n">
        <v>46118</v>
      </c>
      <c r="D229" s="87" t="inlineStr">
        <is>
          <t>ISLOM JANUARIO ASSUNCAO</t>
        </is>
      </c>
      <c r="E229" s="87" t="inlineStr">
        <is>
          <t>Suhai</t>
        </is>
      </c>
      <c r="F229" s="87" t="inlineStr">
        <is>
          <t>John</t>
        </is>
      </c>
      <c r="G229" s="87" t="inlineStr">
        <is>
          <t xml:space="preserve">Novo </t>
        </is>
      </c>
      <c r="H229" s="87" t="inlineStr">
        <is>
          <t>Assinado</t>
        </is>
      </c>
      <c r="I229" s="14" t="n">
        <v>46121</v>
      </c>
    </row>
    <row r="230" ht="15" customHeight="1" s="83">
      <c r="A230" s="14" t="n">
        <v>46112</v>
      </c>
      <c r="B230" s="14" t="n">
        <v>46084</v>
      </c>
      <c r="C230" s="14" t="n">
        <v>46118</v>
      </c>
      <c r="D230" s="87" t="inlineStr">
        <is>
          <t>JOSE ROBERTO RIOS</t>
        </is>
      </c>
      <c r="E230" s="87" t="inlineStr">
        <is>
          <t>Tokio</t>
        </is>
      </c>
      <c r="F230" s="87" t="inlineStr">
        <is>
          <t>John</t>
        </is>
      </c>
      <c r="G230" s="87" t="inlineStr">
        <is>
          <t>Renovação</t>
        </is>
      </c>
      <c r="H230" s="87" t="inlineStr">
        <is>
          <t>Assinado</t>
        </is>
      </c>
      <c r="I230" s="14" t="n">
        <v>46121</v>
      </c>
    </row>
    <row r="231" ht="15" customHeight="1" s="83">
      <c r="A231" s="14" t="n">
        <v>46112</v>
      </c>
      <c r="B231" s="14" t="n">
        <v>46084</v>
      </c>
      <c r="C231" s="14" t="n">
        <v>46118</v>
      </c>
      <c r="D231" s="87" t="inlineStr">
        <is>
          <t>JULIA MARIA DO NASCIMENTO LUCHETTI MACEDO</t>
        </is>
      </c>
      <c r="E231" s="87" t="inlineStr">
        <is>
          <t>Azul</t>
        </is>
      </c>
      <c r="F231" s="87" t="inlineStr">
        <is>
          <t>Jacqueline</t>
        </is>
      </c>
      <c r="G231" s="87" t="inlineStr">
        <is>
          <t xml:space="preserve">Novo </t>
        </is>
      </c>
      <c r="H231" s="87" t="inlineStr">
        <is>
          <t>Assinado</t>
        </is>
      </c>
      <c r="I231" s="14" t="n">
        <v>46121</v>
      </c>
    </row>
    <row r="232">
      <c r="A232" s="14" t="n">
        <v>46112</v>
      </c>
      <c r="B232" s="14" t="n">
        <v>46084</v>
      </c>
      <c r="C232" s="14" t="n">
        <v>46118</v>
      </c>
      <c r="D232" s="87" t="inlineStr">
        <is>
          <t>JOAO JOSE CARMO CUNHA</t>
        </is>
      </c>
      <c r="E232" s="87" t="inlineStr">
        <is>
          <t>Azul</t>
        </is>
      </c>
      <c r="F232" s="87" t="inlineStr">
        <is>
          <t>Isabella</t>
        </is>
      </c>
      <c r="G232" s="87" t="inlineStr">
        <is>
          <t xml:space="preserve">Novo </t>
        </is>
      </c>
      <c r="H232" s="87" t="inlineStr">
        <is>
          <t>Assinado</t>
        </is>
      </c>
      <c r="I232" s="14" t="n">
        <v>46121</v>
      </c>
    </row>
    <row r="233">
      <c r="A233" s="14" t="n">
        <v>46112</v>
      </c>
      <c r="B233" s="14" t="n">
        <v>46084</v>
      </c>
      <c r="C233" s="14" t="n">
        <v>46118</v>
      </c>
      <c r="D233" s="87" t="inlineStr">
        <is>
          <t>RICARDO APARECIDO CORDEIRO</t>
        </is>
      </c>
      <c r="E233" s="87" t="inlineStr">
        <is>
          <t>Azul</t>
        </is>
      </c>
      <c r="F233" s="87" t="inlineStr">
        <is>
          <t>John</t>
        </is>
      </c>
      <c r="G233" s="87" t="inlineStr">
        <is>
          <t xml:space="preserve">Novo </t>
        </is>
      </c>
      <c r="H233" s="87" t="inlineStr">
        <is>
          <t>Assinado</t>
        </is>
      </c>
      <c r="I233" s="14" t="n">
        <v>46121</v>
      </c>
    </row>
    <row r="234">
      <c r="A234" s="14" t="n">
        <v>46112</v>
      </c>
      <c r="B234" s="14" t="n">
        <v>46084</v>
      </c>
      <c r="C234" s="14" t="n">
        <v>46118</v>
      </c>
      <c r="D234" s="62" t="inlineStr">
        <is>
          <t>FELIPE RAMON GONCALVES GUIMARAES</t>
        </is>
      </c>
      <c r="E234" s="87" t="inlineStr">
        <is>
          <t>Azul</t>
        </is>
      </c>
      <c r="F234" s="87" t="inlineStr">
        <is>
          <t>Myrelle</t>
        </is>
      </c>
      <c r="G234" s="87" t="inlineStr">
        <is>
          <t xml:space="preserve">Novo </t>
        </is>
      </c>
      <c r="H234" s="87" t="inlineStr">
        <is>
          <t>Assinado</t>
        </is>
      </c>
      <c r="I234" s="14" t="n">
        <v>46121</v>
      </c>
    </row>
    <row r="235">
      <c r="A235" s="14" t="n">
        <v>46112</v>
      </c>
      <c r="B235" s="14" t="n">
        <v>46084</v>
      </c>
      <c r="C235" s="14" t="n">
        <v>46118</v>
      </c>
      <c r="D235" s="62" t="inlineStr">
        <is>
          <t>RAFAEL LUIZ FERREIRA</t>
        </is>
      </c>
      <c r="E235" s="87" t="inlineStr">
        <is>
          <t>Tokio</t>
        </is>
      </c>
      <c r="F235" s="87" t="inlineStr">
        <is>
          <t>John</t>
        </is>
      </c>
      <c r="G235" s="87" t="inlineStr">
        <is>
          <t xml:space="preserve">Novo </t>
        </is>
      </c>
      <c r="H235" s="87" t="inlineStr">
        <is>
          <t>Assinado</t>
        </is>
      </c>
      <c r="I235" s="14" t="n">
        <v>46121</v>
      </c>
    </row>
    <row r="236">
      <c r="A236" s="14" t="n">
        <v>46112</v>
      </c>
      <c r="B236" s="14" t="n">
        <v>46084</v>
      </c>
      <c r="C236" s="14" t="n">
        <v>46118</v>
      </c>
      <c r="D236" s="62" t="inlineStr">
        <is>
          <t>LEANDRO DE AQUINO MARTINS</t>
        </is>
      </c>
      <c r="E236" s="87" t="inlineStr">
        <is>
          <t>Suhai</t>
        </is>
      </c>
      <c r="F236" s="87" t="inlineStr">
        <is>
          <t>Leticia</t>
        </is>
      </c>
      <c r="G236" s="87" t="inlineStr">
        <is>
          <t xml:space="preserve">Novo </t>
        </is>
      </c>
      <c r="H236" s="87" t="inlineStr">
        <is>
          <t>Assinado</t>
        </is>
      </c>
      <c r="I236" s="14" t="n">
        <v>46121</v>
      </c>
    </row>
    <row r="237">
      <c r="A237" s="14" t="n">
        <v>46112</v>
      </c>
      <c r="B237" s="14" t="n">
        <v>46084</v>
      </c>
      <c r="C237" s="14" t="n">
        <v>46118</v>
      </c>
      <c r="D237" s="62" t="inlineStr">
        <is>
          <t>DANIELLE FERREIRA CRUZ SILVA</t>
        </is>
      </c>
      <c r="E237" s="87" t="inlineStr">
        <is>
          <t>Suhai</t>
        </is>
      </c>
      <c r="F237" s="87" t="inlineStr">
        <is>
          <t>Leticia</t>
        </is>
      </c>
      <c r="G237" s="87" t="inlineStr">
        <is>
          <t xml:space="preserve">Novo </t>
        </is>
      </c>
      <c r="H237" s="87" t="inlineStr">
        <is>
          <t>Cancelado</t>
        </is>
      </c>
      <c r="I237" s="14" t="n">
        <v>46121</v>
      </c>
    </row>
    <row r="238">
      <c r="D238" s="54" t="n"/>
    </row>
  </sheetData>
  <mergeCells count="3">
    <mergeCell ref="L2:M2"/>
    <mergeCell ref="L17:M17"/>
    <mergeCell ref="L22:M22"/>
  </mergeCells>
  <conditionalFormatting sqref="H2:H239 H129:I136 I137:I164">
    <cfRule type="cellIs" priority="304" operator="equal" dxfId="7">
      <formula>"Assinado"</formula>
    </cfRule>
    <cfRule type="cellIs" priority="305" operator="equal" dxfId="4">
      <formula>"Pendente"</formula>
    </cfRule>
  </conditionalFormatting>
  <conditionalFormatting sqref="H1:H1048576 H129:I136 I1 I137:I164">
    <cfRule type="cellIs" priority="300" operator="equal" dxfId="1">
      <formula>"Consultor em contato"</formula>
    </cfRule>
    <cfRule type="cellIs" priority="302" operator="equal" dxfId="0">
      <formula>"Cancelado"</formula>
    </cfRule>
    <cfRule type="cellIs" priority="303" operator="equal" dxfId="7">
      <formula>"Assinado(manual)"</formula>
    </cfRule>
  </conditionalFormatting>
  <conditionalFormatting sqref="E1:E1048576">
    <cfRule type="cellIs" priority="299" operator="equal" dxfId="6">
      <formula>"Tokio"</formula>
    </cfRule>
  </conditionalFormatting>
  <conditionalFormatting sqref="H2:H237">
    <cfRule type="cellIs" priority="4" operator="equal" dxfId="5">
      <formula>"Na planilha"</formula>
    </cfRule>
    <cfRule type="cellIs" priority="298" operator="equal" dxfId="4">
      <formula>"Pendente (manual)"</formula>
    </cfRule>
  </conditionalFormatting>
  <conditionalFormatting sqref="H1:H1048576 H129:I136 I137:I164">
    <cfRule type="cellIs" priority="286" operator="equal" dxfId="1">
      <formula>"Sem retorno do consultor"</formula>
    </cfRule>
    <cfRule type="cellIs" priority="287" operator="equal" dxfId="1">
      <formula>"2° envio"</formula>
    </cfRule>
    <cfRule type="cellIs" priority="288" operator="equal" dxfId="1">
      <formula>"Envio e-mail"</formula>
    </cfRule>
  </conditionalFormatting>
  <conditionalFormatting sqref="M5">
    <cfRule type="cellIs" priority="5" operator="greaterThanOrEqual" dxfId="0">
      <formula>0.3</formula>
    </cfRule>
    <cfRule type="cellIs" priority="6" operator="between" dxfId="5">
      <formula>0.151</formula>
      <formula>0.299</formula>
    </cfRule>
    <cfRule type="cellIs" priority="7" operator="lessThanOrEqual" dxfId="7">
      <formula>0.15</formula>
    </cfRule>
  </conditionalFormatting>
  <conditionalFormatting sqref="M20">
    <cfRule type="cellIs" priority="1" operator="greaterThan" dxfId="0">
      <formula>0.3</formula>
    </cfRule>
    <cfRule type="cellIs" priority="2" operator="between" dxfId="5">
      <formula>0.1501</formula>
      <formula>0.3</formula>
    </cfRule>
    <cfRule type="cellIs" priority="3" operator="lessThan" dxfId="7">
      <formula>0.15</formula>
    </cfRule>
  </conditionalFormatting>
  <dataValidations count="4">
    <dataValidation sqref="E2:E1048576" showDropDown="0" showInputMessage="1" showErrorMessage="1" allowBlank="1" type="list">
      <formula1>INDIRECT("Tabela1[Seguradoras]")</formula1>
    </dataValidation>
    <dataValidation sqref="H2:H1048576" showDropDown="0" showInputMessage="1" showErrorMessage="1" allowBlank="1" type="list">
      <formula1>INDIRECT("Tabela6[status]")</formula1>
    </dataValidation>
    <dataValidation sqref="F2:F1048576" showDropDown="0" showInputMessage="1" showErrorMessage="1" allowBlank="1" type="list">
      <formula1>INDIRECT("Tabela5[consultores]")</formula1>
    </dataValidation>
    <dataValidation sqref="G1:G1048576" showDropDown="0" showInputMessage="1" showErrorMessage="1" allowBlank="1" type="list">
      <formula1>INDIRECT("Tabela10[tipo]")</formula1>
    </dataValidation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 codeName="Plan6">
    <outlinePr summaryBelow="1" summaryRight="1"/>
    <pageSetUpPr/>
  </sheetPr>
  <dimension ref="A1:J18"/>
  <sheetViews>
    <sheetView workbookViewId="0">
      <selection activeCell="K11" sqref="K11"/>
    </sheetView>
  </sheetViews>
  <sheetFormatPr baseColWidth="8" defaultRowHeight="15"/>
  <cols>
    <col width="11.85546875" customWidth="1" style="83" min="1" max="1"/>
    <col width="23.85546875" bestFit="1" customWidth="1" style="83" min="2" max="2"/>
    <col width="11.140625" customWidth="1" style="83" min="3" max="3"/>
    <col width="10.5703125" bestFit="1" customWidth="1" style="83" min="5" max="5"/>
    <col width="9.85546875" customWidth="1" style="83" min="7" max="7"/>
    <col width="11.5703125" bestFit="1" customWidth="1" style="87" min="9" max="9"/>
    <col width="9.140625" customWidth="1" style="87" min="10" max="10"/>
  </cols>
  <sheetData>
    <row r="1">
      <c r="A1" t="inlineStr">
        <is>
          <t>Seguradoras</t>
        </is>
      </c>
      <c r="B1" t="inlineStr">
        <is>
          <t>status</t>
        </is>
      </c>
      <c r="C1" t="inlineStr">
        <is>
          <t>consultores</t>
        </is>
      </c>
      <c r="E1" t="inlineStr">
        <is>
          <t>tipo</t>
        </is>
      </c>
      <c r="G1" t="inlineStr">
        <is>
          <t>Gênero</t>
        </is>
      </c>
      <c r="I1" s="41" t="inlineStr">
        <is>
          <t>Consultores</t>
        </is>
      </c>
      <c r="J1" s="41" t="inlineStr">
        <is>
          <t>Gênero</t>
        </is>
      </c>
    </row>
    <row r="2">
      <c r="A2" t="inlineStr">
        <is>
          <t>Porto</t>
        </is>
      </c>
      <c r="B2" t="inlineStr">
        <is>
          <t>Assinado</t>
        </is>
      </c>
      <c r="C2" t="inlineStr">
        <is>
          <t>Isabella</t>
        </is>
      </c>
      <c r="E2" t="inlineStr">
        <is>
          <t>Novo</t>
        </is>
      </c>
      <c r="G2" t="inlineStr">
        <is>
          <t>F</t>
        </is>
      </c>
      <c r="I2" s="41" t="inlineStr">
        <is>
          <t>Isabella</t>
        </is>
      </c>
      <c r="J2" s="41" t="inlineStr">
        <is>
          <t>F</t>
        </is>
      </c>
    </row>
    <row r="3">
      <c r="A3" t="inlineStr">
        <is>
          <t>Tokio</t>
        </is>
      </c>
      <c r="B3" t="inlineStr">
        <is>
          <t>Pendente</t>
        </is>
      </c>
      <c r="C3" t="inlineStr">
        <is>
          <t>Jacqueline</t>
        </is>
      </c>
      <c r="E3" t="inlineStr">
        <is>
          <t>Renovação</t>
        </is>
      </c>
      <c r="G3" t="inlineStr">
        <is>
          <t>M</t>
        </is>
      </c>
      <c r="I3" s="41" t="inlineStr">
        <is>
          <t>Jacqueline</t>
        </is>
      </c>
      <c r="J3" s="41" t="inlineStr">
        <is>
          <t>F</t>
        </is>
      </c>
    </row>
    <row r="4">
      <c r="A4" t="inlineStr">
        <is>
          <t>Suhai</t>
        </is>
      </c>
      <c r="B4" t="inlineStr">
        <is>
          <t>Assinado(manual)</t>
        </is>
      </c>
      <c r="C4" t="inlineStr">
        <is>
          <t>Jéssica</t>
        </is>
      </c>
      <c r="E4" t="inlineStr">
        <is>
          <t>Endosso</t>
        </is>
      </c>
      <c r="I4" s="41" t="inlineStr">
        <is>
          <t>Jéssica</t>
        </is>
      </c>
      <c r="J4" s="41" t="inlineStr">
        <is>
          <t>F</t>
        </is>
      </c>
    </row>
    <row r="5">
      <c r="A5" t="inlineStr">
        <is>
          <t>Azul</t>
        </is>
      </c>
      <c r="B5" t="inlineStr">
        <is>
          <t>Cancelado</t>
        </is>
      </c>
      <c r="C5" t="inlineStr">
        <is>
          <t>John</t>
        </is>
      </c>
      <c r="I5" s="41" t="inlineStr">
        <is>
          <t>John</t>
        </is>
      </c>
      <c r="J5" s="41" t="inlineStr">
        <is>
          <t>M</t>
        </is>
      </c>
    </row>
    <row r="6">
      <c r="A6" t="inlineStr">
        <is>
          <t>Mapfre</t>
        </is>
      </c>
      <c r="B6" t="inlineStr">
        <is>
          <t>2° envio</t>
        </is>
      </c>
      <c r="C6" t="inlineStr">
        <is>
          <t>Leticia</t>
        </is>
      </c>
      <c r="I6" s="41" t="inlineStr">
        <is>
          <t>Leticia</t>
        </is>
      </c>
      <c r="J6" s="41" t="inlineStr">
        <is>
          <t>F</t>
        </is>
      </c>
    </row>
    <row r="7">
      <c r="A7" t="inlineStr">
        <is>
          <t>Itaú</t>
        </is>
      </c>
      <c r="B7" t="inlineStr">
        <is>
          <t>Envio e-mail</t>
        </is>
      </c>
      <c r="C7" t="inlineStr">
        <is>
          <t>Myrelle</t>
        </is>
      </c>
      <c r="I7" s="41" t="inlineStr">
        <is>
          <t>Myrelle</t>
        </is>
      </c>
      <c r="J7" s="41" t="inlineStr">
        <is>
          <t>F</t>
        </is>
      </c>
    </row>
    <row r="8">
      <c r="A8" t="inlineStr">
        <is>
          <t>Allianz</t>
        </is>
      </c>
      <c r="B8" t="inlineStr">
        <is>
          <t>Na planilha</t>
        </is>
      </c>
      <c r="C8" t="inlineStr">
        <is>
          <t>Pamela</t>
        </is>
      </c>
    </row>
    <row r="9">
      <c r="A9" t="inlineStr">
        <is>
          <t>Zurich</t>
        </is>
      </c>
      <c r="B9" t="inlineStr">
        <is>
          <t>Erro</t>
        </is>
      </c>
    </row>
    <row r="10">
      <c r="A10" t="inlineStr">
        <is>
          <t>Yellum</t>
        </is>
      </c>
    </row>
    <row r="11">
      <c r="A11" t="inlineStr">
        <is>
          <t>Bradesco</t>
        </is>
      </c>
    </row>
    <row r="12">
      <c r="A12" t="inlineStr">
        <is>
          <t>Aliro</t>
        </is>
      </c>
    </row>
    <row r="13">
      <c r="A13" t="inlineStr">
        <is>
          <t>HDI</t>
        </is>
      </c>
    </row>
    <row r="14">
      <c r="A14" t="inlineStr">
        <is>
          <t>EZZE</t>
        </is>
      </c>
    </row>
    <row r="15">
      <c r="A15" t="inlineStr">
        <is>
          <t>Mitsui</t>
        </is>
      </c>
    </row>
    <row r="16">
      <c r="A16" t="inlineStr">
        <is>
          <t>Alfa</t>
        </is>
      </c>
      <c r="C16">
        <f>Tabela5[consultores]</f>
        <v/>
      </c>
    </row>
    <row r="18">
      <c r="A18">
        <f>Tabela1[Seguradoras]</f>
        <v/>
      </c>
      <c r="B18">
        <f>Tabela6[status]</f>
        <v/>
      </c>
      <c r="E18">
        <f>Tabela10[tipo]</f>
        <v/>
      </c>
      <c r="G18">
        <f>Tabela13[Gênero]</f>
        <v/>
      </c>
    </row>
  </sheetData>
  <pageMargins left="0.511811024" right="0.511811024" top="0.787401575" bottom="0.787401575" header="0.31496062" footer="0.31496062"/>
  <pageSetup orientation="portrait" paperSize="9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 codeName="Plan1">
    <outlinePr summaryBelow="1" summaryRight="1"/>
    <pageSetUpPr/>
  </sheetPr>
  <dimension ref="B2:C26"/>
  <sheetViews>
    <sheetView topLeftCell="A13" workbookViewId="0">
      <selection activeCell="G25" sqref="G25"/>
    </sheetView>
  </sheetViews>
  <sheetFormatPr baseColWidth="8" defaultRowHeight="15"/>
  <cols>
    <col width="18" customWidth="1" style="83" min="2" max="2"/>
    <col width="25.140625" customWidth="1" style="83" min="3" max="3"/>
    <col width="9.28515625" bestFit="1" customWidth="1" style="83" min="4" max="4"/>
    <col width="6.42578125" customWidth="1" style="83" min="5" max="5"/>
    <col width="5" customWidth="1" style="83" min="6" max="6"/>
    <col width="5.42578125" customWidth="1" style="83" min="7" max="7"/>
    <col width="6.140625" customWidth="1" style="83" min="8" max="8"/>
    <col width="5.5703125" customWidth="1" style="83" min="9" max="9"/>
    <col width="10.28515625" bestFit="1" customWidth="1" style="83" min="10" max="10"/>
  </cols>
  <sheetData>
    <row r="2">
      <c r="B2" s="81" t="inlineStr">
        <is>
          <t>Rótulos de Linha</t>
        </is>
      </c>
      <c r="C2" t="inlineStr">
        <is>
          <t>Contar de Nome do cliente</t>
        </is>
      </c>
    </row>
    <row r="3">
      <c r="B3" s="82" t="inlineStr">
        <is>
          <t>janeiro</t>
        </is>
      </c>
      <c r="C3" t="n">
        <v>11</v>
      </c>
    </row>
    <row r="4">
      <c r="B4" s="82" t="inlineStr">
        <is>
          <t>fevereiro</t>
        </is>
      </c>
      <c r="C4" t="n">
        <v>175</v>
      </c>
    </row>
    <row r="5">
      <c r="B5" s="82" t="inlineStr">
        <is>
          <t>março</t>
        </is>
      </c>
      <c r="C5" t="n">
        <v>236</v>
      </c>
    </row>
    <row r="6">
      <c r="B6" s="82" t="inlineStr">
        <is>
          <t>abril</t>
        </is>
      </c>
      <c r="C6" t="n">
        <v>194</v>
      </c>
    </row>
    <row r="7">
      <c r="B7" s="82" t="inlineStr">
        <is>
          <t>maio</t>
        </is>
      </c>
      <c r="C7" t="n">
        <v>207</v>
      </c>
    </row>
    <row r="8">
      <c r="B8" s="82" t="inlineStr">
        <is>
          <t>junho</t>
        </is>
      </c>
      <c r="C8" t="n">
        <v>163</v>
      </c>
    </row>
    <row r="9">
      <c r="B9" s="82" t="inlineStr">
        <is>
          <t>julho</t>
        </is>
      </c>
      <c r="C9" t="n">
        <v>180</v>
      </c>
    </row>
    <row r="10">
      <c r="B10" s="82" t="inlineStr">
        <is>
          <t>Total geral</t>
        </is>
      </c>
      <c r="C10" t="n">
        <v>1166</v>
      </c>
    </row>
    <row r="13">
      <c r="B13" s="81" t="inlineStr">
        <is>
          <t>Rótulos de Linha</t>
        </is>
      </c>
      <c r="C13" t="inlineStr">
        <is>
          <t>Contar de Nome do cliente</t>
        </is>
      </c>
    </row>
    <row r="14">
      <c r="B14" s="82" t="inlineStr">
        <is>
          <t>Aliro</t>
        </is>
      </c>
      <c r="C14" t="n">
        <v>4</v>
      </c>
    </row>
    <row r="15">
      <c r="B15" s="82" t="inlineStr">
        <is>
          <t>Allianz</t>
        </is>
      </c>
      <c r="C15" t="n">
        <v>37</v>
      </c>
    </row>
    <row r="16">
      <c r="B16" s="82" t="inlineStr">
        <is>
          <t>Azul</t>
        </is>
      </c>
      <c r="C16" t="n">
        <v>393</v>
      </c>
    </row>
    <row r="17">
      <c r="B17" s="82" t="inlineStr">
        <is>
          <t>Bradesco</t>
        </is>
      </c>
      <c r="C17" t="n">
        <v>10</v>
      </c>
    </row>
    <row r="18">
      <c r="B18" s="82" t="inlineStr">
        <is>
          <t>HDI</t>
        </is>
      </c>
      <c r="C18" t="n">
        <v>6</v>
      </c>
    </row>
    <row r="19">
      <c r="B19" s="82" t="inlineStr">
        <is>
          <t>Itaú</t>
        </is>
      </c>
      <c r="C19" t="n">
        <v>22</v>
      </c>
    </row>
    <row r="20">
      <c r="B20" s="82" t="inlineStr">
        <is>
          <t>Mapfre</t>
        </is>
      </c>
      <c r="C20" t="n">
        <v>59</v>
      </c>
    </row>
    <row r="21">
      <c r="B21" s="82" t="inlineStr">
        <is>
          <t>Porto</t>
        </is>
      </c>
      <c r="C21" t="n">
        <v>124</v>
      </c>
    </row>
    <row r="22">
      <c r="B22" s="82" t="inlineStr">
        <is>
          <t>Suhai</t>
        </is>
      </c>
      <c r="C22" t="n">
        <v>285</v>
      </c>
    </row>
    <row r="23">
      <c r="B23" s="82" t="inlineStr">
        <is>
          <t>Tokio</t>
        </is>
      </c>
      <c r="C23" t="n">
        <v>214</v>
      </c>
    </row>
    <row r="24">
      <c r="B24" s="82" t="inlineStr">
        <is>
          <t>Yellum</t>
        </is>
      </c>
      <c r="C24" t="n">
        <v>6</v>
      </c>
    </row>
    <row r="25">
      <c r="B25" s="82" t="inlineStr">
        <is>
          <t>Zurich</t>
        </is>
      </c>
      <c r="C25" t="n">
        <v>6</v>
      </c>
    </row>
    <row r="26">
      <c r="B26" s="82" t="inlineStr">
        <is>
          <t>Total geral</t>
        </is>
      </c>
      <c r="C26" t="n">
        <v>1166</v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"/>
  <sheetViews>
    <sheetView zoomScaleNormal="100" workbookViewId="0">
      <selection activeCell="F25" sqref="F25"/>
    </sheetView>
  </sheetViews>
  <sheetFormatPr baseColWidth="8" defaultRowHeight="15"/>
  <sheetData>
    <row r="2"/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Luiza</dc:creator>
  <dcterms:created xsi:type="dcterms:W3CDTF">2026-01-28T14:53:02Z</dcterms:created>
  <dcterms:modified xsi:type="dcterms:W3CDTF">2026-08-03T13:44:00Z</dcterms:modified>
  <cp:lastModifiedBy>Ana Luiza</cp:lastModifiedBy>
</cp:coreProperties>
</file>